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nzo\Downloads\"/>
    </mc:Choice>
  </mc:AlternateContent>
  <xr:revisionPtr revIDLastSave="0" documentId="13_ncr:1_{1847885B-7303-4BC2-96C4-84C55359C9B1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 Actividad Escenario Cuatro" sheetId="2" r:id="rId1"/>
  </sheets>
  <definedNames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7" i="2" l="1"/>
  <c r="L34" i="2"/>
  <c r="D56" i="2"/>
  <c r="D58" i="2" s="1"/>
  <c r="L39" i="2" s="1"/>
  <c r="L41" i="2" s="1"/>
  <c r="L44" i="2" s="1"/>
  <c r="L46" i="2" s="1"/>
  <c r="L48" i="2" s="1"/>
  <c r="E55" i="2"/>
  <c r="E58" i="2" s="1"/>
  <c r="L40" i="2" s="1"/>
  <c r="I54" i="2"/>
  <c r="G53" i="2"/>
  <c r="F52" i="2"/>
  <c r="G51" i="2"/>
  <c r="F50" i="2"/>
  <c r="L42" i="2" s="1"/>
  <c r="H49" i="2"/>
  <c r="G48" i="2"/>
  <c r="H47" i="2"/>
  <c r="G46" i="2"/>
  <c r="I45" i="2"/>
  <c r="G44" i="2"/>
  <c r="G43" i="2"/>
  <c r="H42" i="2"/>
  <c r="F41" i="2"/>
  <c r="F58" i="2" s="1"/>
  <c r="H40" i="2"/>
  <c r="H58" i="2" s="1"/>
  <c r="L53" i="2" s="1"/>
  <c r="G39" i="2"/>
  <c r="G58" i="2" s="1"/>
  <c r="L52" i="2" s="1"/>
  <c r="G21" i="2"/>
  <c r="L47" i="2"/>
  <c r="L45" i="2"/>
  <c r="L43" i="2"/>
  <c r="D33" i="2"/>
  <c r="F18" i="2"/>
  <c r="F29" i="2"/>
  <c r="F27" i="2"/>
  <c r="E32" i="2"/>
  <c r="I22" i="2"/>
  <c r="I31" i="2"/>
  <c r="H26" i="2"/>
  <c r="H24" i="2"/>
  <c r="H19" i="2"/>
  <c r="H17" i="2"/>
  <c r="H35" i="2" s="1"/>
  <c r="L30" i="2" s="1"/>
  <c r="G30" i="2"/>
  <c r="G28" i="2"/>
  <c r="G25" i="2"/>
  <c r="G23" i="2"/>
  <c r="G20" i="2"/>
  <c r="G16" i="2"/>
  <c r="L22" i="2"/>
  <c r="L24" i="2"/>
  <c r="L20" i="2"/>
  <c r="L19" i="2"/>
  <c r="E35" i="2"/>
  <c r="L17" i="2" s="1"/>
  <c r="F35" i="2"/>
  <c r="D35" i="2"/>
  <c r="L16" i="2" s="1"/>
  <c r="I58" i="2" l="1"/>
  <c r="L54" i="2" s="1"/>
  <c r="L56" i="2" s="1"/>
  <c r="L18" i="2"/>
  <c r="L21" i="2" s="1"/>
  <c r="L23" i="2" s="1"/>
  <c r="L25" i="2" s="1"/>
  <c r="C34" i="2" s="1"/>
  <c r="G35" i="2"/>
  <c r="L29" i="2" s="1"/>
  <c r="C57" i="2"/>
  <c r="I57" i="2" s="1"/>
  <c r="I34" i="2" l="1"/>
  <c r="I35" i="2" s="1"/>
  <c r="L31" i="2" s="1"/>
  <c r="L33" i="2" s="1"/>
</calcChain>
</file>

<file path=xl/sharedStrings.xml><?xml version="1.0" encoding="utf-8"?>
<sst xmlns="http://schemas.openxmlformats.org/spreadsheetml/2006/main" count="91" uniqueCount="46">
  <si>
    <t>PATRIMONIO</t>
  </si>
  <si>
    <t>INGRESOS</t>
  </si>
  <si>
    <t>COSTOS</t>
  </si>
  <si>
    <t>GASTOS</t>
  </si>
  <si>
    <t>CLASIFICACION DE LAS CUENTAS</t>
  </si>
  <si>
    <t>ACTIVOS</t>
  </si>
  <si>
    <t>PASIVOS</t>
  </si>
  <si>
    <t>Estado de Resultados</t>
  </si>
  <si>
    <t>Caja y Bancos</t>
  </si>
  <si>
    <t>Ventas Netas</t>
  </si>
  <si>
    <t>Impuesto de renta por pagar</t>
  </si>
  <si>
    <t>Costos de Productos (-)</t>
  </si>
  <si>
    <t xml:space="preserve">Intereses(Gastos financieros) </t>
  </si>
  <si>
    <t>Utilidad Bruta en Ventas</t>
  </si>
  <si>
    <t>Obligaciones financieras largo plazo</t>
  </si>
  <si>
    <t>Gastos Admon (-)</t>
  </si>
  <si>
    <t>Terrenos</t>
  </si>
  <si>
    <t>Gastos Ventas (-)</t>
  </si>
  <si>
    <t>Depreciación Acumulada</t>
  </si>
  <si>
    <t>Utilidad Operacional</t>
  </si>
  <si>
    <t>Utilidades retenidas</t>
  </si>
  <si>
    <t>Intereses (-)</t>
  </si>
  <si>
    <t>Inventarios</t>
  </si>
  <si>
    <t>Utilidad antes Impuestos</t>
  </si>
  <si>
    <t>Obligaciones financieras Corto Plazo</t>
  </si>
  <si>
    <t>Impuestos (-)</t>
  </si>
  <si>
    <t>Maquinaria y Equipo</t>
  </si>
  <si>
    <t>Utilidad Neta</t>
  </si>
  <si>
    <t>Proveedores</t>
  </si>
  <si>
    <t xml:space="preserve">Gastos de Administración </t>
  </si>
  <si>
    <t>Edificios</t>
  </si>
  <si>
    <t xml:space="preserve">Gastos de Ventas </t>
  </si>
  <si>
    <t>Activo</t>
  </si>
  <si>
    <t>Cuentas por cobrar</t>
  </si>
  <si>
    <t>Pasivo</t>
  </si>
  <si>
    <t>Capital</t>
  </si>
  <si>
    <t>Patrimonio</t>
  </si>
  <si>
    <t xml:space="preserve">Costo de Productos vendidos </t>
  </si>
  <si>
    <t xml:space="preserve">Ventas netas (100% a crédito) </t>
  </si>
  <si>
    <t>Total Pasivo y Patrimonio</t>
  </si>
  <si>
    <t>TOTALES</t>
  </si>
  <si>
    <t>AÑO 2</t>
  </si>
  <si>
    <t>AÑO 3</t>
  </si>
  <si>
    <t>Estado de Situacion Financiera</t>
  </si>
  <si>
    <t>ACTIVIDAD No 2: Estado de Resultados y Estado de Situacion Financiera</t>
  </si>
  <si>
    <t xml:space="preserve">ECUACION: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</si>
</sst>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[$$-240A]\ #,##0;[Red][$$-240A]\ #,##0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12"/>
      <color theme="6" tint="-0.499984740745262"/>
      <name val="Arial"/>
      <family val="2"/>
    </font>
    <font>
      <b/>
      <sz val="12"/>
      <color theme="0"/>
      <name val="Arial"/>
      <family val="2"/>
    </font>
    <font>
      <b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4"/>
      <color rgb="FF000000"/>
      <name val="Arial"/>
      <family val="2"/>
    </font>
    <font>
      <u/>
      <sz val="12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indexed="64"/>
      </bottom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6" fillId="0" borderId="0" xfId="0" applyFont="1" applyAlignment="1">
      <alignment horizontal="center" vertical="top" wrapText="1"/>
    </xf>
    <xf numFmtId="3" fontId="6" fillId="0" borderId="0" xfId="0" applyNumberFormat="1" applyFont="1" applyAlignment="1">
      <alignment horizontal="center" vertical="top" wrapText="1"/>
    </xf>
    <xf numFmtId="0" fontId="6" fillId="0" borderId="0" xfId="0" applyFont="1" applyAlignment="1">
      <alignment horizontal="right" vertical="top" wrapText="1"/>
    </xf>
    <xf numFmtId="0" fontId="8" fillId="2" borderId="0" xfId="0" applyFont="1" applyFill="1" applyAlignment="1">
      <alignment horizontal="center" vertical="top" wrapText="1"/>
    </xf>
    <xf numFmtId="0" fontId="1" fillId="3" borderId="0" xfId="0" applyFont="1" applyFill="1" applyAlignment="1">
      <alignment horizontal="center"/>
    </xf>
    <xf numFmtId="164" fontId="6" fillId="0" borderId="0" xfId="0" applyNumberFormat="1" applyFont="1" applyAlignment="1">
      <alignment vertical="top" wrapText="1"/>
    </xf>
    <xf numFmtId="164" fontId="6" fillId="0" borderId="1" xfId="0" applyNumberFormat="1" applyFont="1" applyBorder="1" applyAlignment="1">
      <alignment horizontal="right" vertical="top" wrapText="1"/>
    </xf>
    <xf numFmtId="38" fontId="0" fillId="0" borderId="0" xfId="0" applyNumberFormat="1"/>
    <xf numFmtId="164" fontId="0" fillId="0" borderId="0" xfId="0" applyNumberFormat="1"/>
    <xf numFmtId="38" fontId="0" fillId="0" borderId="2" xfId="0" applyNumberFormat="1" applyBorder="1"/>
    <xf numFmtId="0" fontId="9" fillId="4" borderId="3" xfId="0" applyFont="1" applyFill="1" applyBorder="1" applyAlignment="1">
      <alignment horizontal="righ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64" fontId="5" fillId="0" borderId="0" xfId="0" applyNumberFormat="1" applyFont="1" applyAlignment="1">
      <alignment vertical="top" wrapText="1"/>
    </xf>
    <xf numFmtId="0" fontId="2" fillId="0" borderId="0" xfId="0" applyFont="1"/>
    <xf numFmtId="164" fontId="9" fillId="5" borderId="1" xfId="0" applyNumberFormat="1" applyFont="1" applyFill="1" applyBorder="1"/>
    <xf numFmtId="164" fontId="6" fillId="0" borderId="5" xfId="0" applyNumberFormat="1" applyFont="1" applyBorder="1" applyAlignment="1">
      <alignment horizontal="right" vertical="top" wrapText="1"/>
    </xf>
    <xf numFmtId="164" fontId="10" fillId="4" borderId="4" xfId="0" applyNumberFormat="1" applyFont="1" applyFill="1" applyBorder="1"/>
    <xf numFmtId="38" fontId="0" fillId="6" borderId="0" xfId="0" applyNumberFormat="1" applyFill="1"/>
    <xf numFmtId="164" fontId="6" fillId="6" borderId="5" xfId="0" applyNumberFormat="1" applyFont="1" applyFill="1" applyBorder="1" applyAlignment="1">
      <alignment horizontal="right" vertical="top" wrapText="1"/>
    </xf>
    <xf numFmtId="38" fontId="0" fillId="6" borderId="2" xfId="0" applyNumberFormat="1" applyFill="1" applyBorder="1"/>
    <xf numFmtId="164" fontId="11" fillId="7" borderId="5" xfId="0" applyNumberFormat="1" applyFont="1" applyFill="1" applyBorder="1" applyAlignment="1">
      <alignment horizontal="right" vertical="top" wrapText="1"/>
    </xf>
    <xf numFmtId="164" fontId="11" fillId="8" borderId="5" xfId="0" applyNumberFormat="1" applyFont="1" applyFill="1" applyBorder="1" applyAlignment="1">
      <alignment horizontal="right" vertical="top" wrapText="1"/>
    </xf>
    <xf numFmtId="164" fontId="6" fillId="9" borderId="1" xfId="0" applyNumberFormat="1" applyFont="1" applyFill="1" applyBorder="1" applyAlignment="1">
      <alignment horizontal="right" vertical="top" wrapText="1"/>
    </xf>
    <xf numFmtId="164" fontId="12" fillId="0" borderId="1" xfId="0" applyNumberFormat="1" applyFont="1" applyBorder="1" applyAlignment="1">
      <alignment horizontal="right" vertical="top" wrapText="1"/>
    </xf>
    <xf numFmtId="0" fontId="7" fillId="0" borderId="0" xfId="0" applyFont="1" applyAlignment="1">
      <alignment horizontal="center" vertical="top" wrapText="1"/>
    </xf>
    <xf numFmtId="0" fontId="1" fillId="3" borderId="0" xfId="0" applyFont="1" applyFill="1" applyAlignment="1">
      <alignment horizontal="center"/>
    </xf>
    <xf numFmtId="0" fontId="6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9" fillId="4" borderId="0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3</xdr:row>
      <xdr:rowOff>0</xdr:rowOff>
    </xdr:from>
    <xdr:to>
      <xdr:col>8</xdr:col>
      <xdr:colOff>352426</xdr:colOff>
      <xdr:row>11</xdr:row>
      <xdr:rowOff>152400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57175" y="723900"/>
          <a:ext cx="7543801" cy="1704975"/>
        </a:xfrm>
        <a:prstGeom prst="rect">
          <a:avLst/>
        </a:prstGeom>
        <a:solidFill>
          <a:schemeClr val="tx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CO" sz="1400" b="0" i="1">
              <a:solidFill>
                <a:schemeClr val="bg1"/>
              </a:solidFill>
              <a:latin typeface="+mn-lt"/>
              <a:ea typeface="+mn-ea"/>
              <a:cs typeface="+mn-cs"/>
            </a:rPr>
            <a:t>1. Tome el valor de cada cuenta y cópielo en la columna que corresponda según la clasificación que usted crea conveniente.</a:t>
          </a:r>
          <a:endParaRPr lang="es-ES" sz="1400" b="1" i="1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s-CO" sz="1400" b="0" i="1">
              <a:solidFill>
                <a:schemeClr val="bg1"/>
              </a:solidFill>
              <a:latin typeface="+mn-lt"/>
              <a:ea typeface="+mn-ea"/>
              <a:cs typeface="+mn-cs"/>
            </a:rPr>
            <a:t>2. Calcule los totales de las columnas ingresos, costos y gastos</a:t>
          </a:r>
          <a:endParaRPr lang="es-ES" sz="1400" b="1" i="1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s-CO" sz="1400" b="0" i="1">
              <a:solidFill>
                <a:schemeClr val="bg1"/>
              </a:solidFill>
              <a:latin typeface="+mn-lt"/>
              <a:ea typeface="+mn-ea"/>
              <a:cs typeface="+mn-cs"/>
            </a:rPr>
            <a:t>3. Calcule la utilidad del ejercicio restando  los ingresos menos costos y gastos</a:t>
          </a:r>
          <a:endParaRPr lang="es-ES" sz="1400" b="1" i="1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s-CO" sz="1400" b="0" i="1">
              <a:solidFill>
                <a:schemeClr val="bg1"/>
              </a:solidFill>
              <a:latin typeface="+mn-lt"/>
              <a:ea typeface="+mn-ea"/>
              <a:cs typeface="+mn-cs"/>
            </a:rPr>
            <a:t>4. Coloque el valor de la utilidad del ejercicio en la columna respectiva</a:t>
          </a:r>
          <a:endParaRPr lang="es-ES" sz="1400" b="1" i="1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s-CO" sz="1400" b="0" i="1">
              <a:solidFill>
                <a:schemeClr val="bg1"/>
              </a:solidFill>
              <a:latin typeface="+mn-lt"/>
              <a:ea typeface="+mn-ea"/>
              <a:cs typeface="+mn-cs"/>
            </a:rPr>
            <a:t>5. Sume las columnas de activos, pasivos y patrimonio</a:t>
          </a:r>
          <a:endParaRPr lang="es-ES" sz="1400" b="1" i="1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s-CO" sz="1400" b="0" i="1">
              <a:solidFill>
                <a:schemeClr val="bg1"/>
              </a:solidFill>
              <a:latin typeface="+mn-lt"/>
              <a:ea typeface="+mn-ea"/>
              <a:cs typeface="+mn-cs"/>
            </a:rPr>
            <a:t>6. Compruebe que se cumple el principio de la partida doble: Activos igual a Pasivos más Patrimonio </a:t>
          </a:r>
          <a:endParaRPr lang="es-ES" sz="1400" b="1" i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58"/>
  <sheetViews>
    <sheetView tabSelected="1" topLeftCell="B31" workbookViewId="0">
      <selection activeCell="H67" sqref="H67"/>
    </sheetView>
  </sheetViews>
  <sheetFormatPr baseColWidth="10" defaultColWidth="11.44140625" defaultRowHeight="14.4" x14ac:dyDescent="0.3"/>
  <cols>
    <col min="1" max="1" width="32.5546875" customWidth="1"/>
    <col min="2" max="2" width="39.44140625" customWidth="1"/>
    <col min="3" max="3" width="12.6640625" customWidth="1"/>
    <col min="4" max="4" width="13.44140625" customWidth="1"/>
    <col min="6" max="6" width="11.109375" customWidth="1"/>
    <col min="9" max="9" width="15.44140625" customWidth="1"/>
    <col min="10" max="10" width="13.5546875" bestFit="1" customWidth="1"/>
    <col min="11" max="11" width="23.44140625" customWidth="1"/>
    <col min="12" max="12" width="16.44140625" customWidth="1"/>
    <col min="257" max="257" width="0.6640625" customWidth="1"/>
    <col min="258" max="258" width="39.44140625" customWidth="1"/>
    <col min="259" max="259" width="12.6640625" customWidth="1"/>
    <col min="260" max="260" width="13.44140625" customWidth="1"/>
    <col min="262" max="262" width="11.109375" customWidth="1"/>
    <col min="265" max="265" width="15.44140625" customWidth="1"/>
    <col min="266" max="266" width="13.5546875" bestFit="1" customWidth="1"/>
    <col min="267" max="267" width="23.44140625" customWidth="1"/>
    <col min="268" max="268" width="16.44140625" customWidth="1"/>
    <col min="513" max="513" width="0.6640625" customWidth="1"/>
    <col min="514" max="514" width="39.44140625" customWidth="1"/>
    <col min="515" max="515" width="12.6640625" customWidth="1"/>
    <col min="516" max="516" width="13.44140625" customWidth="1"/>
    <col min="518" max="518" width="11.109375" customWidth="1"/>
    <col min="521" max="521" width="15.44140625" customWidth="1"/>
    <col min="522" max="522" width="13.5546875" bestFit="1" customWidth="1"/>
    <col min="523" max="523" width="23.44140625" customWidth="1"/>
    <col min="524" max="524" width="16.44140625" customWidth="1"/>
    <col min="769" max="769" width="0.6640625" customWidth="1"/>
    <col min="770" max="770" width="39.44140625" customWidth="1"/>
    <col min="771" max="771" width="12.6640625" customWidth="1"/>
    <col min="772" max="772" width="13.44140625" customWidth="1"/>
    <col min="774" max="774" width="11.109375" customWidth="1"/>
    <col min="777" max="777" width="15.44140625" customWidth="1"/>
    <col min="778" max="778" width="13.5546875" bestFit="1" customWidth="1"/>
    <col min="779" max="779" width="23.44140625" customWidth="1"/>
    <col min="780" max="780" width="16.44140625" customWidth="1"/>
    <col min="1025" max="1025" width="0.6640625" customWidth="1"/>
    <col min="1026" max="1026" width="39.44140625" customWidth="1"/>
    <col min="1027" max="1027" width="12.6640625" customWidth="1"/>
    <col min="1028" max="1028" width="13.44140625" customWidth="1"/>
    <col min="1030" max="1030" width="11.109375" customWidth="1"/>
    <col min="1033" max="1033" width="15.44140625" customWidth="1"/>
    <col min="1034" max="1034" width="13.5546875" bestFit="1" customWidth="1"/>
    <col min="1035" max="1035" width="23.44140625" customWidth="1"/>
    <col min="1036" max="1036" width="16.44140625" customWidth="1"/>
    <col min="1281" max="1281" width="0.6640625" customWidth="1"/>
    <col min="1282" max="1282" width="39.44140625" customWidth="1"/>
    <col min="1283" max="1283" width="12.6640625" customWidth="1"/>
    <col min="1284" max="1284" width="13.44140625" customWidth="1"/>
    <col min="1286" max="1286" width="11.109375" customWidth="1"/>
    <col min="1289" max="1289" width="15.44140625" customWidth="1"/>
    <col min="1290" max="1290" width="13.5546875" bestFit="1" customWidth="1"/>
    <col min="1291" max="1291" width="23.44140625" customWidth="1"/>
    <col min="1292" max="1292" width="16.44140625" customWidth="1"/>
    <col min="1537" max="1537" width="0.6640625" customWidth="1"/>
    <col min="1538" max="1538" width="39.44140625" customWidth="1"/>
    <col min="1539" max="1539" width="12.6640625" customWidth="1"/>
    <col min="1540" max="1540" width="13.44140625" customWidth="1"/>
    <col min="1542" max="1542" width="11.109375" customWidth="1"/>
    <col min="1545" max="1545" width="15.44140625" customWidth="1"/>
    <col min="1546" max="1546" width="13.5546875" bestFit="1" customWidth="1"/>
    <col min="1547" max="1547" width="23.44140625" customWidth="1"/>
    <col min="1548" max="1548" width="16.44140625" customWidth="1"/>
    <col min="1793" max="1793" width="0.6640625" customWidth="1"/>
    <col min="1794" max="1794" width="39.44140625" customWidth="1"/>
    <col min="1795" max="1795" width="12.6640625" customWidth="1"/>
    <col min="1796" max="1796" width="13.44140625" customWidth="1"/>
    <col min="1798" max="1798" width="11.109375" customWidth="1"/>
    <col min="1801" max="1801" width="15.44140625" customWidth="1"/>
    <col min="1802" max="1802" width="13.5546875" bestFit="1" customWidth="1"/>
    <col min="1803" max="1803" width="23.44140625" customWidth="1"/>
    <col min="1804" max="1804" width="16.44140625" customWidth="1"/>
    <col min="2049" max="2049" width="0.6640625" customWidth="1"/>
    <col min="2050" max="2050" width="39.44140625" customWidth="1"/>
    <col min="2051" max="2051" width="12.6640625" customWidth="1"/>
    <col min="2052" max="2052" width="13.44140625" customWidth="1"/>
    <col min="2054" max="2054" width="11.109375" customWidth="1"/>
    <col min="2057" max="2057" width="15.44140625" customWidth="1"/>
    <col min="2058" max="2058" width="13.5546875" bestFit="1" customWidth="1"/>
    <col min="2059" max="2059" width="23.44140625" customWidth="1"/>
    <col min="2060" max="2060" width="16.44140625" customWidth="1"/>
    <col min="2305" max="2305" width="0.6640625" customWidth="1"/>
    <col min="2306" max="2306" width="39.44140625" customWidth="1"/>
    <col min="2307" max="2307" width="12.6640625" customWidth="1"/>
    <col min="2308" max="2308" width="13.44140625" customWidth="1"/>
    <col min="2310" max="2310" width="11.109375" customWidth="1"/>
    <col min="2313" max="2313" width="15.44140625" customWidth="1"/>
    <col min="2314" max="2314" width="13.5546875" bestFit="1" customWidth="1"/>
    <col min="2315" max="2315" width="23.44140625" customWidth="1"/>
    <col min="2316" max="2316" width="16.44140625" customWidth="1"/>
    <col min="2561" max="2561" width="0.6640625" customWidth="1"/>
    <col min="2562" max="2562" width="39.44140625" customWidth="1"/>
    <col min="2563" max="2563" width="12.6640625" customWidth="1"/>
    <col min="2564" max="2564" width="13.44140625" customWidth="1"/>
    <col min="2566" max="2566" width="11.109375" customWidth="1"/>
    <col min="2569" max="2569" width="15.44140625" customWidth="1"/>
    <col min="2570" max="2570" width="13.5546875" bestFit="1" customWidth="1"/>
    <col min="2571" max="2571" width="23.44140625" customWidth="1"/>
    <col min="2572" max="2572" width="16.44140625" customWidth="1"/>
    <col min="2817" max="2817" width="0.6640625" customWidth="1"/>
    <col min="2818" max="2818" width="39.44140625" customWidth="1"/>
    <col min="2819" max="2819" width="12.6640625" customWidth="1"/>
    <col min="2820" max="2820" width="13.44140625" customWidth="1"/>
    <col min="2822" max="2822" width="11.109375" customWidth="1"/>
    <col min="2825" max="2825" width="15.44140625" customWidth="1"/>
    <col min="2826" max="2826" width="13.5546875" bestFit="1" customWidth="1"/>
    <col min="2827" max="2827" width="23.44140625" customWidth="1"/>
    <col min="2828" max="2828" width="16.44140625" customWidth="1"/>
    <col min="3073" max="3073" width="0.6640625" customWidth="1"/>
    <col min="3074" max="3074" width="39.44140625" customWidth="1"/>
    <col min="3075" max="3075" width="12.6640625" customWidth="1"/>
    <col min="3076" max="3076" width="13.44140625" customWidth="1"/>
    <col min="3078" max="3078" width="11.109375" customWidth="1"/>
    <col min="3081" max="3081" width="15.44140625" customWidth="1"/>
    <col min="3082" max="3082" width="13.5546875" bestFit="1" customWidth="1"/>
    <col min="3083" max="3083" width="23.44140625" customWidth="1"/>
    <col min="3084" max="3084" width="16.44140625" customWidth="1"/>
    <col min="3329" max="3329" width="0.6640625" customWidth="1"/>
    <col min="3330" max="3330" width="39.44140625" customWidth="1"/>
    <col min="3331" max="3331" width="12.6640625" customWidth="1"/>
    <col min="3332" max="3332" width="13.44140625" customWidth="1"/>
    <col min="3334" max="3334" width="11.109375" customWidth="1"/>
    <col min="3337" max="3337" width="15.44140625" customWidth="1"/>
    <col min="3338" max="3338" width="13.5546875" bestFit="1" customWidth="1"/>
    <col min="3339" max="3339" width="23.44140625" customWidth="1"/>
    <col min="3340" max="3340" width="16.44140625" customWidth="1"/>
    <col min="3585" max="3585" width="0.6640625" customWidth="1"/>
    <col min="3586" max="3586" width="39.44140625" customWidth="1"/>
    <col min="3587" max="3587" width="12.6640625" customWidth="1"/>
    <col min="3588" max="3588" width="13.44140625" customWidth="1"/>
    <col min="3590" max="3590" width="11.109375" customWidth="1"/>
    <col min="3593" max="3593" width="15.44140625" customWidth="1"/>
    <col min="3594" max="3594" width="13.5546875" bestFit="1" customWidth="1"/>
    <col min="3595" max="3595" width="23.44140625" customWidth="1"/>
    <col min="3596" max="3596" width="16.44140625" customWidth="1"/>
    <col min="3841" max="3841" width="0.6640625" customWidth="1"/>
    <col min="3842" max="3842" width="39.44140625" customWidth="1"/>
    <col min="3843" max="3843" width="12.6640625" customWidth="1"/>
    <col min="3844" max="3844" width="13.44140625" customWidth="1"/>
    <col min="3846" max="3846" width="11.109375" customWidth="1"/>
    <col min="3849" max="3849" width="15.44140625" customWidth="1"/>
    <col min="3850" max="3850" width="13.5546875" bestFit="1" customWidth="1"/>
    <col min="3851" max="3851" width="23.44140625" customWidth="1"/>
    <col min="3852" max="3852" width="16.44140625" customWidth="1"/>
    <col min="4097" max="4097" width="0.6640625" customWidth="1"/>
    <col min="4098" max="4098" width="39.44140625" customWidth="1"/>
    <col min="4099" max="4099" width="12.6640625" customWidth="1"/>
    <col min="4100" max="4100" width="13.44140625" customWidth="1"/>
    <col min="4102" max="4102" width="11.109375" customWidth="1"/>
    <col min="4105" max="4105" width="15.44140625" customWidth="1"/>
    <col min="4106" max="4106" width="13.5546875" bestFit="1" customWidth="1"/>
    <col min="4107" max="4107" width="23.44140625" customWidth="1"/>
    <col min="4108" max="4108" width="16.44140625" customWidth="1"/>
    <col min="4353" max="4353" width="0.6640625" customWidth="1"/>
    <col min="4354" max="4354" width="39.44140625" customWidth="1"/>
    <col min="4355" max="4355" width="12.6640625" customWidth="1"/>
    <col min="4356" max="4356" width="13.44140625" customWidth="1"/>
    <col min="4358" max="4358" width="11.109375" customWidth="1"/>
    <col min="4361" max="4361" width="15.44140625" customWidth="1"/>
    <col min="4362" max="4362" width="13.5546875" bestFit="1" customWidth="1"/>
    <col min="4363" max="4363" width="23.44140625" customWidth="1"/>
    <col min="4364" max="4364" width="16.44140625" customWidth="1"/>
    <col min="4609" max="4609" width="0.6640625" customWidth="1"/>
    <col min="4610" max="4610" width="39.44140625" customWidth="1"/>
    <col min="4611" max="4611" width="12.6640625" customWidth="1"/>
    <col min="4612" max="4612" width="13.44140625" customWidth="1"/>
    <col min="4614" max="4614" width="11.109375" customWidth="1"/>
    <col min="4617" max="4617" width="15.44140625" customWidth="1"/>
    <col min="4618" max="4618" width="13.5546875" bestFit="1" customWidth="1"/>
    <col min="4619" max="4619" width="23.44140625" customWidth="1"/>
    <col min="4620" max="4620" width="16.44140625" customWidth="1"/>
    <col min="4865" max="4865" width="0.6640625" customWidth="1"/>
    <col min="4866" max="4866" width="39.44140625" customWidth="1"/>
    <col min="4867" max="4867" width="12.6640625" customWidth="1"/>
    <col min="4868" max="4868" width="13.44140625" customWidth="1"/>
    <col min="4870" max="4870" width="11.109375" customWidth="1"/>
    <col min="4873" max="4873" width="15.44140625" customWidth="1"/>
    <col min="4874" max="4874" width="13.5546875" bestFit="1" customWidth="1"/>
    <col min="4875" max="4875" width="23.44140625" customWidth="1"/>
    <col min="4876" max="4876" width="16.44140625" customWidth="1"/>
    <col min="5121" max="5121" width="0.6640625" customWidth="1"/>
    <col min="5122" max="5122" width="39.44140625" customWidth="1"/>
    <col min="5123" max="5123" width="12.6640625" customWidth="1"/>
    <col min="5124" max="5124" width="13.44140625" customWidth="1"/>
    <col min="5126" max="5126" width="11.109375" customWidth="1"/>
    <col min="5129" max="5129" width="15.44140625" customWidth="1"/>
    <col min="5130" max="5130" width="13.5546875" bestFit="1" customWidth="1"/>
    <col min="5131" max="5131" width="23.44140625" customWidth="1"/>
    <col min="5132" max="5132" width="16.44140625" customWidth="1"/>
    <col min="5377" max="5377" width="0.6640625" customWidth="1"/>
    <col min="5378" max="5378" width="39.44140625" customWidth="1"/>
    <col min="5379" max="5379" width="12.6640625" customWidth="1"/>
    <col min="5380" max="5380" width="13.44140625" customWidth="1"/>
    <col min="5382" max="5382" width="11.109375" customWidth="1"/>
    <col min="5385" max="5385" width="15.44140625" customWidth="1"/>
    <col min="5386" max="5386" width="13.5546875" bestFit="1" customWidth="1"/>
    <col min="5387" max="5387" width="23.44140625" customWidth="1"/>
    <col min="5388" max="5388" width="16.44140625" customWidth="1"/>
    <col min="5633" max="5633" width="0.6640625" customWidth="1"/>
    <col min="5634" max="5634" width="39.44140625" customWidth="1"/>
    <col min="5635" max="5635" width="12.6640625" customWidth="1"/>
    <col min="5636" max="5636" width="13.44140625" customWidth="1"/>
    <col min="5638" max="5638" width="11.109375" customWidth="1"/>
    <col min="5641" max="5641" width="15.44140625" customWidth="1"/>
    <col min="5642" max="5642" width="13.5546875" bestFit="1" customWidth="1"/>
    <col min="5643" max="5643" width="23.44140625" customWidth="1"/>
    <col min="5644" max="5644" width="16.44140625" customWidth="1"/>
    <col min="5889" max="5889" width="0.6640625" customWidth="1"/>
    <col min="5890" max="5890" width="39.44140625" customWidth="1"/>
    <col min="5891" max="5891" width="12.6640625" customWidth="1"/>
    <col min="5892" max="5892" width="13.44140625" customWidth="1"/>
    <col min="5894" max="5894" width="11.109375" customWidth="1"/>
    <col min="5897" max="5897" width="15.44140625" customWidth="1"/>
    <col min="5898" max="5898" width="13.5546875" bestFit="1" customWidth="1"/>
    <col min="5899" max="5899" width="23.44140625" customWidth="1"/>
    <col min="5900" max="5900" width="16.44140625" customWidth="1"/>
    <col min="6145" max="6145" width="0.6640625" customWidth="1"/>
    <col min="6146" max="6146" width="39.44140625" customWidth="1"/>
    <col min="6147" max="6147" width="12.6640625" customWidth="1"/>
    <col min="6148" max="6148" width="13.44140625" customWidth="1"/>
    <col min="6150" max="6150" width="11.109375" customWidth="1"/>
    <col min="6153" max="6153" width="15.44140625" customWidth="1"/>
    <col min="6154" max="6154" width="13.5546875" bestFit="1" customWidth="1"/>
    <col min="6155" max="6155" width="23.44140625" customWidth="1"/>
    <col min="6156" max="6156" width="16.44140625" customWidth="1"/>
    <col min="6401" max="6401" width="0.6640625" customWidth="1"/>
    <col min="6402" max="6402" width="39.44140625" customWidth="1"/>
    <col min="6403" max="6403" width="12.6640625" customWidth="1"/>
    <col min="6404" max="6404" width="13.44140625" customWidth="1"/>
    <col min="6406" max="6406" width="11.109375" customWidth="1"/>
    <col min="6409" max="6409" width="15.44140625" customWidth="1"/>
    <col min="6410" max="6410" width="13.5546875" bestFit="1" customWidth="1"/>
    <col min="6411" max="6411" width="23.44140625" customWidth="1"/>
    <col min="6412" max="6412" width="16.44140625" customWidth="1"/>
    <col min="6657" max="6657" width="0.6640625" customWidth="1"/>
    <col min="6658" max="6658" width="39.44140625" customWidth="1"/>
    <col min="6659" max="6659" width="12.6640625" customWidth="1"/>
    <col min="6660" max="6660" width="13.44140625" customWidth="1"/>
    <col min="6662" max="6662" width="11.109375" customWidth="1"/>
    <col min="6665" max="6665" width="15.44140625" customWidth="1"/>
    <col min="6666" max="6666" width="13.5546875" bestFit="1" customWidth="1"/>
    <col min="6667" max="6667" width="23.44140625" customWidth="1"/>
    <col min="6668" max="6668" width="16.44140625" customWidth="1"/>
    <col min="6913" max="6913" width="0.6640625" customWidth="1"/>
    <col min="6914" max="6914" width="39.44140625" customWidth="1"/>
    <col min="6915" max="6915" width="12.6640625" customWidth="1"/>
    <col min="6916" max="6916" width="13.44140625" customWidth="1"/>
    <col min="6918" max="6918" width="11.109375" customWidth="1"/>
    <col min="6921" max="6921" width="15.44140625" customWidth="1"/>
    <col min="6922" max="6922" width="13.5546875" bestFit="1" customWidth="1"/>
    <col min="6923" max="6923" width="23.44140625" customWidth="1"/>
    <col min="6924" max="6924" width="16.44140625" customWidth="1"/>
    <col min="7169" max="7169" width="0.6640625" customWidth="1"/>
    <col min="7170" max="7170" width="39.44140625" customWidth="1"/>
    <col min="7171" max="7171" width="12.6640625" customWidth="1"/>
    <col min="7172" max="7172" width="13.44140625" customWidth="1"/>
    <col min="7174" max="7174" width="11.109375" customWidth="1"/>
    <col min="7177" max="7177" width="15.44140625" customWidth="1"/>
    <col min="7178" max="7178" width="13.5546875" bestFit="1" customWidth="1"/>
    <col min="7179" max="7179" width="23.44140625" customWidth="1"/>
    <col min="7180" max="7180" width="16.44140625" customWidth="1"/>
    <col min="7425" max="7425" width="0.6640625" customWidth="1"/>
    <col min="7426" max="7426" width="39.44140625" customWidth="1"/>
    <col min="7427" max="7427" width="12.6640625" customWidth="1"/>
    <col min="7428" max="7428" width="13.44140625" customWidth="1"/>
    <col min="7430" max="7430" width="11.109375" customWidth="1"/>
    <col min="7433" max="7433" width="15.44140625" customWidth="1"/>
    <col min="7434" max="7434" width="13.5546875" bestFit="1" customWidth="1"/>
    <col min="7435" max="7435" width="23.44140625" customWidth="1"/>
    <col min="7436" max="7436" width="16.44140625" customWidth="1"/>
    <col min="7681" max="7681" width="0.6640625" customWidth="1"/>
    <col min="7682" max="7682" width="39.44140625" customWidth="1"/>
    <col min="7683" max="7683" width="12.6640625" customWidth="1"/>
    <col min="7684" max="7684" width="13.44140625" customWidth="1"/>
    <col min="7686" max="7686" width="11.109375" customWidth="1"/>
    <col min="7689" max="7689" width="15.44140625" customWidth="1"/>
    <col min="7690" max="7690" width="13.5546875" bestFit="1" customWidth="1"/>
    <col min="7691" max="7691" width="23.44140625" customWidth="1"/>
    <col min="7692" max="7692" width="16.44140625" customWidth="1"/>
    <col min="7937" max="7937" width="0.6640625" customWidth="1"/>
    <col min="7938" max="7938" width="39.44140625" customWidth="1"/>
    <col min="7939" max="7939" width="12.6640625" customWidth="1"/>
    <col min="7940" max="7940" width="13.44140625" customWidth="1"/>
    <col min="7942" max="7942" width="11.109375" customWidth="1"/>
    <col min="7945" max="7945" width="15.44140625" customWidth="1"/>
    <col min="7946" max="7946" width="13.5546875" bestFit="1" customWidth="1"/>
    <col min="7947" max="7947" width="23.44140625" customWidth="1"/>
    <col min="7948" max="7948" width="16.44140625" customWidth="1"/>
    <col min="8193" max="8193" width="0.6640625" customWidth="1"/>
    <col min="8194" max="8194" width="39.44140625" customWidth="1"/>
    <col min="8195" max="8195" width="12.6640625" customWidth="1"/>
    <col min="8196" max="8196" width="13.44140625" customWidth="1"/>
    <col min="8198" max="8198" width="11.109375" customWidth="1"/>
    <col min="8201" max="8201" width="15.44140625" customWidth="1"/>
    <col min="8202" max="8202" width="13.5546875" bestFit="1" customWidth="1"/>
    <col min="8203" max="8203" width="23.44140625" customWidth="1"/>
    <col min="8204" max="8204" width="16.44140625" customWidth="1"/>
    <col min="8449" max="8449" width="0.6640625" customWidth="1"/>
    <col min="8450" max="8450" width="39.44140625" customWidth="1"/>
    <col min="8451" max="8451" width="12.6640625" customWidth="1"/>
    <col min="8452" max="8452" width="13.44140625" customWidth="1"/>
    <col min="8454" max="8454" width="11.109375" customWidth="1"/>
    <col min="8457" max="8457" width="15.44140625" customWidth="1"/>
    <col min="8458" max="8458" width="13.5546875" bestFit="1" customWidth="1"/>
    <col min="8459" max="8459" width="23.44140625" customWidth="1"/>
    <col min="8460" max="8460" width="16.44140625" customWidth="1"/>
    <col min="8705" max="8705" width="0.6640625" customWidth="1"/>
    <col min="8706" max="8706" width="39.44140625" customWidth="1"/>
    <col min="8707" max="8707" width="12.6640625" customWidth="1"/>
    <col min="8708" max="8708" width="13.44140625" customWidth="1"/>
    <col min="8710" max="8710" width="11.109375" customWidth="1"/>
    <col min="8713" max="8713" width="15.44140625" customWidth="1"/>
    <col min="8714" max="8714" width="13.5546875" bestFit="1" customWidth="1"/>
    <col min="8715" max="8715" width="23.44140625" customWidth="1"/>
    <col min="8716" max="8716" width="16.44140625" customWidth="1"/>
    <col min="8961" max="8961" width="0.6640625" customWidth="1"/>
    <col min="8962" max="8962" width="39.44140625" customWidth="1"/>
    <col min="8963" max="8963" width="12.6640625" customWidth="1"/>
    <col min="8964" max="8964" width="13.44140625" customWidth="1"/>
    <col min="8966" max="8966" width="11.109375" customWidth="1"/>
    <col min="8969" max="8969" width="15.44140625" customWidth="1"/>
    <col min="8970" max="8970" width="13.5546875" bestFit="1" customWidth="1"/>
    <col min="8971" max="8971" width="23.44140625" customWidth="1"/>
    <col min="8972" max="8972" width="16.44140625" customWidth="1"/>
    <col min="9217" max="9217" width="0.6640625" customWidth="1"/>
    <col min="9218" max="9218" width="39.44140625" customWidth="1"/>
    <col min="9219" max="9219" width="12.6640625" customWidth="1"/>
    <col min="9220" max="9220" width="13.44140625" customWidth="1"/>
    <col min="9222" max="9222" width="11.109375" customWidth="1"/>
    <col min="9225" max="9225" width="15.44140625" customWidth="1"/>
    <col min="9226" max="9226" width="13.5546875" bestFit="1" customWidth="1"/>
    <col min="9227" max="9227" width="23.44140625" customWidth="1"/>
    <col min="9228" max="9228" width="16.44140625" customWidth="1"/>
    <col min="9473" max="9473" width="0.6640625" customWidth="1"/>
    <col min="9474" max="9474" width="39.44140625" customWidth="1"/>
    <col min="9475" max="9475" width="12.6640625" customWidth="1"/>
    <col min="9476" max="9476" width="13.44140625" customWidth="1"/>
    <col min="9478" max="9478" width="11.109375" customWidth="1"/>
    <col min="9481" max="9481" width="15.44140625" customWidth="1"/>
    <col min="9482" max="9482" width="13.5546875" bestFit="1" customWidth="1"/>
    <col min="9483" max="9483" width="23.44140625" customWidth="1"/>
    <col min="9484" max="9484" width="16.44140625" customWidth="1"/>
    <col min="9729" max="9729" width="0.6640625" customWidth="1"/>
    <col min="9730" max="9730" width="39.44140625" customWidth="1"/>
    <col min="9731" max="9731" width="12.6640625" customWidth="1"/>
    <col min="9732" max="9732" width="13.44140625" customWidth="1"/>
    <col min="9734" max="9734" width="11.109375" customWidth="1"/>
    <col min="9737" max="9737" width="15.44140625" customWidth="1"/>
    <col min="9738" max="9738" width="13.5546875" bestFit="1" customWidth="1"/>
    <col min="9739" max="9739" width="23.44140625" customWidth="1"/>
    <col min="9740" max="9740" width="16.44140625" customWidth="1"/>
    <col min="9985" max="9985" width="0.6640625" customWidth="1"/>
    <col min="9986" max="9986" width="39.44140625" customWidth="1"/>
    <col min="9987" max="9987" width="12.6640625" customWidth="1"/>
    <col min="9988" max="9988" width="13.44140625" customWidth="1"/>
    <col min="9990" max="9990" width="11.109375" customWidth="1"/>
    <col min="9993" max="9993" width="15.44140625" customWidth="1"/>
    <col min="9994" max="9994" width="13.5546875" bestFit="1" customWidth="1"/>
    <col min="9995" max="9995" width="23.44140625" customWidth="1"/>
    <col min="9996" max="9996" width="16.44140625" customWidth="1"/>
    <col min="10241" max="10241" width="0.6640625" customWidth="1"/>
    <col min="10242" max="10242" width="39.44140625" customWidth="1"/>
    <col min="10243" max="10243" width="12.6640625" customWidth="1"/>
    <col min="10244" max="10244" width="13.44140625" customWidth="1"/>
    <col min="10246" max="10246" width="11.109375" customWidth="1"/>
    <col min="10249" max="10249" width="15.44140625" customWidth="1"/>
    <col min="10250" max="10250" width="13.5546875" bestFit="1" customWidth="1"/>
    <col min="10251" max="10251" width="23.44140625" customWidth="1"/>
    <col min="10252" max="10252" width="16.44140625" customWidth="1"/>
    <col min="10497" max="10497" width="0.6640625" customWidth="1"/>
    <col min="10498" max="10498" width="39.44140625" customWidth="1"/>
    <col min="10499" max="10499" width="12.6640625" customWidth="1"/>
    <col min="10500" max="10500" width="13.44140625" customWidth="1"/>
    <col min="10502" max="10502" width="11.109375" customWidth="1"/>
    <col min="10505" max="10505" width="15.44140625" customWidth="1"/>
    <col min="10506" max="10506" width="13.5546875" bestFit="1" customWidth="1"/>
    <col min="10507" max="10507" width="23.44140625" customWidth="1"/>
    <col min="10508" max="10508" width="16.44140625" customWidth="1"/>
    <col min="10753" max="10753" width="0.6640625" customWidth="1"/>
    <col min="10754" max="10754" width="39.44140625" customWidth="1"/>
    <col min="10755" max="10755" width="12.6640625" customWidth="1"/>
    <col min="10756" max="10756" width="13.44140625" customWidth="1"/>
    <col min="10758" max="10758" width="11.109375" customWidth="1"/>
    <col min="10761" max="10761" width="15.44140625" customWidth="1"/>
    <col min="10762" max="10762" width="13.5546875" bestFit="1" customWidth="1"/>
    <col min="10763" max="10763" width="23.44140625" customWidth="1"/>
    <col min="10764" max="10764" width="16.44140625" customWidth="1"/>
    <col min="11009" max="11009" width="0.6640625" customWidth="1"/>
    <col min="11010" max="11010" width="39.44140625" customWidth="1"/>
    <col min="11011" max="11011" width="12.6640625" customWidth="1"/>
    <col min="11012" max="11012" width="13.44140625" customWidth="1"/>
    <col min="11014" max="11014" width="11.109375" customWidth="1"/>
    <col min="11017" max="11017" width="15.44140625" customWidth="1"/>
    <col min="11018" max="11018" width="13.5546875" bestFit="1" customWidth="1"/>
    <col min="11019" max="11019" width="23.44140625" customWidth="1"/>
    <col min="11020" max="11020" width="16.44140625" customWidth="1"/>
    <col min="11265" max="11265" width="0.6640625" customWidth="1"/>
    <col min="11266" max="11266" width="39.44140625" customWidth="1"/>
    <col min="11267" max="11267" width="12.6640625" customWidth="1"/>
    <col min="11268" max="11268" width="13.44140625" customWidth="1"/>
    <col min="11270" max="11270" width="11.109375" customWidth="1"/>
    <col min="11273" max="11273" width="15.44140625" customWidth="1"/>
    <col min="11274" max="11274" width="13.5546875" bestFit="1" customWidth="1"/>
    <col min="11275" max="11275" width="23.44140625" customWidth="1"/>
    <col min="11276" max="11276" width="16.44140625" customWidth="1"/>
    <col min="11521" max="11521" width="0.6640625" customWidth="1"/>
    <col min="11522" max="11522" width="39.44140625" customWidth="1"/>
    <col min="11523" max="11523" width="12.6640625" customWidth="1"/>
    <col min="11524" max="11524" width="13.44140625" customWidth="1"/>
    <col min="11526" max="11526" width="11.109375" customWidth="1"/>
    <col min="11529" max="11529" width="15.44140625" customWidth="1"/>
    <col min="11530" max="11530" width="13.5546875" bestFit="1" customWidth="1"/>
    <col min="11531" max="11531" width="23.44140625" customWidth="1"/>
    <col min="11532" max="11532" width="16.44140625" customWidth="1"/>
    <col min="11777" max="11777" width="0.6640625" customWidth="1"/>
    <col min="11778" max="11778" width="39.44140625" customWidth="1"/>
    <col min="11779" max="11779" width="12.6640625" customWidth="1"/>
    <col min="11780" max="11780" width="13.44140625" customWidth="1"/>
    <col min="11782" max="11782" width="11.109375" customWidth="1"/>
    <col min="11785" max="11785" width="15.44140625" customWidth="1"/>
    <col min="11786" max="11786" width="13.5546875" bestFit="1" customWidth="1"/>
    <col min="11787" max="11787" width="23.44140625" customWidth="1"/>
    <col min="11788" max="11788" width="16.44140625" customWidth="1"/>
    <col min="12033" max="12033" width="0.6640625" customWidth="1"/>
    <col min="12034" max="12034" width="39.44140625" customWidth="1"/>
    <col min="12035" max="12035" width="12.6640625" customWidth="1"/>
    <col min="12036" max="12036" width="13.44140625" customWidth="1"/>
    <col min="12038" max="12038" width="11.109375" customWidth="1"/>
    <col min="12041" max="12041" width="15.44140625" customWidth="1"/>
    <col min="12042" max="12042" width="13.5546875" bestFit="1" customWidth="1"/>
    <col min="12043" max="12043" width="23.44140625" customWidth="1"/>
    <col min="12044" max="12044" width="16.44140625" customWidth="1"/>
    <col min="12289" max="12289" width="0.6640625" customWidth="1"/>
    <col min="12290" max="12290" width="39.44140625" customWidth="1"/>
    <col min="12291" max="12291" width="12.6640625" customWidth="1"/>
    <col min="12292" max="12292" width="13.44140625" customWidth="1"/>
    <col min="12294" max="12294" width="11.109375" customWidth="1"/>
    <col min="12297" max="12297" width="15.44140625" customWidth="1"/>
    <col min="12298" max="12298" width="13.5546875" bestFit="1" customWidth="1"/>
    <col min="12299" max="12299" width="23.44140625" customWidth="1"/>
    <col min="12300" max="12300" width="16.44140625" customWidth="1"/>
    <col min="12545" max="12545" width="0.6640625" customWidth="1"/>
    <col min="12546" max="12546" width="39.44140625" customWidth="1"/>
    <col min="12547" max="12547" width="12.6640625" customWidth="1"/>
    <col min="12548" max="12548" width="13.44140625" customWidth="1"/>
    <col min="12550" max="12550" width="11.109375" customWidth="1"/>
    <col min="12553" max="12553" width="15.44140625" customWidth="1"/>
    <col min="12554" max="12554" width="13.5546875" bestFit="1" customWidth="1"/>
    <col min="12555" max="12555" width="23.44140625" customWidth="1"/>
    <col min="12556" max="12556" width="16.44140625" customWidth="1"/>
    <col min="12801" max="12801" width="0.6640625" customWidth="1"/>
    <col min="12802" max="12802" width="39.44140625" customWidth="1"/>
    <col min="12803" max="12803" width="12.6640625" customWidth="1"/>
    <col min="12804" max="12804" width="13.44140625" customWidth="1"/>
    <col min="12806" max="12806" width="11.109375" customWidth="1"/>
    <col min="12809" max="12809" width="15.44140625" customWidth="1"/>
    <col min="12810" max="12810" width="13.5546875" bestFit="1" customWidth="1"/>
    <col min="12811" max="12811" width="23.44140625" customWidth="1"/>
    <col min="12812" max="12812" width="16.44140625" customWidth="1"/>
    <col min="13057" max="13057" width="0.6640625" customWidth="1"/>
    <col min="13058" max="13058" width="39.44140625" customWidth="1"/>
    <col min="13059" max="13059" width="12.6640625" customWidth="1"/>
    <col min="13060" max="13060" width="13.44140625" customWidth="1"/>
    <col min="13062" max="13062" width="11.109375" customWidth="1"/>
    <col min="13065" max="13065" width="15.44140625" customWidth="1"/>
    <col min="13066" max="13066" width="13.5546875" bestFit="1" customWidth="1"/>
    <col min="13067" max="13067" width="23.44140625" customWidth="1"/>
    <col min="13068" max="13068" width="16.44140625" customWidth="1"/>
    <col min="13313" max="13313" width="0.6640625" customWidth="1"/>
    <col min="13314" max="13314" width="39.44140625" customWidth="1"/>
    <col min="13315" max="13315" width="12.6640625" customWidth="1"/>
    <col min="13316" max="13316" width="13.44140625" customWidth="1"/>
    <col min="13318" max="13318" width="11.109375" customWidth="1"/>
    <col min="13321" max="13321" width="15.44140625" customWidth="1"/>
    <col min="13322" max="13322" width="13.5546875" bestFit="1" customWidth="1"/>
    <col min="13323" max="13323" width="23.44140625" customWidth="1"/>
    <col min="13324" max="13324" width="16.44140625" customWidth="1"/>
    <col min="13569" max="13569" width="0.6640625" customWidth="1"/>
    <col min="13570" max="13570" width="39.44140625" customWidth="1"/>
    <col min="13571" max="13571" width="12.6640625" customWidth="1"/>
    <col min="13572" max="13572" width="13.44140625" customWidth="1"/>
    <col min="13574" max="13574" width="11.109375" customWidth="1"/>
    <col min="13577" max="13577" width="15.44140625" customWidth="1"/>
    <col min="13578" max="13578" width="13.5546875" bestFit="1" customWidth="1"/>
    <col min="13579" max="13579" width="23.44140625" customWidth="1"/>
    <col min="13580" max="13580" width="16.44140625" customWidth="1"/>
    <col min="13825" max="13825" width="0.6640625" customWidth="1"/>
    <col min="13826" max="13826" width="39.44140625" customWidth="1"/>
    <col min="13827" max="13827" width="12.6640625" customWidth="1"/>
    <col min="13828" max="13828" width="13.44140625" customWidth="1"/>
    <col min="13830" max="13830" width="11.109375" customWidth="1"/>
    <col min="13833" max="13833" width="15.44140625" customWidth="1"/>
    <col min="13834" max="13834" width="13.5546875" bestFit="1" customWidth="1"/>
    <col min="13835" max="13835" width="23.44140625" customWidth="1"/>
    <col min="13836" max="13836" width="16.44140625" customWidth="1"/>
    <col min="14081" max="14081" width="0.6640625" customWidth="1"/>
    <col min="14082" max="14082" width="39.44140625" customWidth="1"/>
    <col min="14083" max="14083" width="12.6640625" customWidth="1"/>
    <col min="14084" max="14084" width="13.44140625" customWidth="1"/>
    <col min="14086" max="14086" width="11.109375" customWidth="1"/>
    <col min="14089" max="14089" width="15.44140625" customWidth="1"/>
    <col min="14090" max="14090" width="13.5546875" bestFit="1" customWidth="1"/>
    <col min="14091" max="14091" width="23.44140625" customWidth="1"/>
    <col min="14092" max="14092" width="16.44140625" customWidth="1"/>
    <col min="14337" max="14337" width="0.6640625" customWidth="1"/>
    <col min="14338" max="14338" width="39.44140625" customWidth="1"/>
    <col min="14339" max="14339" width="12.6640625" customWidth="1"/>
    <col min="14340" max="14340" width="13.44140625" customWidth="1"/>
    <col min="14342" max="14342" width="11.109375" customWidth="1"/>
    <col min="14345" max="14345" width="15.44140625" customWidth="1"/>
    <col min="14346" max="14346" width="13.5546875" bestFit="1" customWidth="1"/>
    <col min="14347" max="14347" width="23.44140625" customWidth="1"/>
    <col min="14348" max="14348" width="16.44140625" customWidth="1"/>
    <col min="14593" max="14593" width="0.6640625" customWidth="1"/>
    <col min="14594" max="14594" width="39.44140625" customWidth="1"/>
    <col min="14595" max="14595" width="12.6640625" customWidth="1"/>
    <col min="14596" max="14596" width="13.44140625" customWidth="1"/>
    <col min="14598" max="14598" width="11.109375" customWidth="1"/>
    <col min="14601" max="14601" width="15.44140625" customWidth="1"/>
    <col min="14602" max="14602" width="13.5546875" bestFit="1" customWidth="1"/>
    <col min="14603" max="14603" width="23.44140625" customWidth="1"/>
    <col min="14604" max="14604" width="16.44140625" customWidth="1"/>
    <col min="14849" max="14849" width="0.6640625" customWidth="1"/>
    <col min="14850" max="14850" width="39.44140625" customWidth="1"/>
    <col min="14851" max="14851" width="12.6640625" customWidth="1"/>
    <col min="14852" max="14852" width="13.44140625" customWidth="1"/>
    <col min="14854" max="14854" width="11.109375" customWidth="1"/>
    <col min="14857" max="14857" width="15.44140625" customWidth="1"/>
    <col min="14858" max="14858" width="13.5546875" bestFit="1" customWidth="1"/>
    <col min="14859" max="14859" width="23.44140625" customWidth="1"/>
    <col min="14860" max="14860" width="16.44140625" customWidth="1"/>
    <col min="15105" max="15105" width="0.6640625" customWidth="1"/>
    <col min="15106" max="15106" width="39.44140625" customWidth="1"/>
    <col min="15107" max="15107" width="12.6640625" customWidth="1"/>
    <col min="15108" max="15108" width="13.44140625" customWidth="1"/>
    <col min="15110" max="15110" width="11.109375" customWidth="1"/>
    <col min="15113" max="15113" width="15.44140625" customWidth="1"/>
    <col min="15114" max="15114" width="13.5546875" bestFit="1" customWidth="1"/>
    <col min="15115" max="15115" width="23.44140625" customWidth="1"/>
    <col min="15116" max="15116" width="16.44140625" customWidth="1"/>
    <col min="15361" max="15361" width="0.6640625" customWidth="1"/>
    <col min="15362" max="15362" width="39.44140625" customWidth="1"/>
    <col min="15363" max="15363" width="12.6640625" customWidth="1"/>
    <col min="15364" max="15364" width="13.44140625" customWidth="1"/>
    <col min="15366" max="15366" width="11.109375" customWidth="1"/>
    <col min="15369" max="15369" width="15.44140625" customWidth="1"/>
    <col min="15370" max="15370" width="13.5546875" bestFit="1" customWidth="1"/>
    <col min="15371" max="15371" width="23.44140625" customWidth="1"/>
    <col min="15372" max="15372" width="16.44140625" customWidth="1"/>
    <col min="15617" max="15617" width="0.6640625" customWidth="1"/>
    <col min="15618" max="15618" width="39.44140625" customWidth="1"/>
    <col min="15619" max="15619" width="12.6640625" customWidth="1"/>
    <col min="15620" max="15620" width="13.44140625" customWidth="1"/>
    <col min="15622" max="15622" width="11.109375" customWidth="1"/>
    <col min="15625" max="15625" width="15.44140625" customWidth="1"/>
    <col min="15626" max="15626" width="13.5546875" bestFit="1" customWidth="1"/>
    <col min="15627" max="15627" width="23.44140625" customWidth="1"/>
    <col min="15628" max="15628" width="16.44140625" customWidth="1"/>
    <col min="15873" max="15873" width="0.6640625" customWidth="1"/>
    <col min="15874" max="15874" width="39.44140625" customWidth="1"/>
    <col min="15875" max="15875" width="12.6640625" customWidth="1"/>
    <col min="15876" max="15876" width="13.44140625" customWidth="1"/>
    <col min="15878" max="15878" width="11.109375" customWidth="1"/>
    <col min="15881" max="15881" width="15.44140625" customWidth="1"/>
    <col min="15882" max="15882" width="13.5546875" bestFit="1" customWidth="1"/>
    <col min="15883" max="15883" width="23.44140625" customWidth="1"/>
    <col min="15884" max="15884" width="16.44140625" customWidth="1"/>
    <col min="16129" max="16129" width="0.6640625" customWidth="1"/>
    <col min="16130" max="16130" width="39.44140625" customWidth="1"/>
    <col min="16131" max="16131" width="12.6640625" customWidth="1"/>
    <col min="16132" max="16132" width="13.44140625" customWidth="1"/>
    <col min="16134" max="16134" width="11.109375" customWidth="1"/>
    <col min="16137" max="16137" width="15.44140625" customWidth="1"/>
    <col min="16138" max="16138" width="13.5546875" bestFit="1" customWidth="1"/>
    <col min="16139" max="16139" width="23.44140625" customWidth="1"/>
    <col min="16140" max="16140" width="16.44140625" customWidth="1"/>
  </cols>
  <sheetData>
    <row r="1" spans="2:12" ht="23.4" x14ac:dyDescent="0.45">
      <c r="B1" s="31"/>
      <c r="C1" s="31"/>
      <c r="D1" s="31"/>
      <c r="E1" s="31"/>
      <c r="F1" s="31"/>
      <c r="G1" s="31"/>
      <c r="H1" s="31"/>
      <c r="I1" s="31"/>
      <c r="J1" s="31"/>
    </row>
    <row r="2" spans="2:12" ht="18" x14ac:dyDescent="0.35">
      <c r="B2" s="32" t="s">
        <v>44</v>
      </c>
      <c r="C2" s="32"/>
      <c r="D2" s="32"/>
      <c r="E2" s="32"/>
      <c r="F2" s="32"/>
      <c r="G2" s="32"/>
      <c r="H2" s="32"/>
      <c r="I2" s="32"/>
      <c r="J2" s="32"/>
    </row>
    <row r="4" spans="2:12" ht="15.6" x14ac:dyDescent="0.3">
      <c r="B4" s="33"/>
      <c r="C4" s="33"/>
      <c r="D4" s="33"/>
      <c r="E4" s="33"/>
    </row>
    <row r="5" spans="2:12" ht="15.6" x14ac:dyDescent="0.3">
      <c r="B5" s="33"/>
      <c r="C5" s="33"/>
      <c r="D5" s="33"/>
      <c r="E5" s="33"/>
    </row>
    <row r="6" spans="2:12" ht="15.6" x14ac:dyDescent="0.3">
      <c r="B6" s="33"/>
      <c r="C6" s="33"/>
      <c r="D6" s="33"/>
      <c r="E6" s="33"/>
    </row>
    <row r="7" spans="2:12" ht="15" x14ac:dyDescent="0.3">
      <c r="B7" s="30"/>
      <c r="C7" s="30"/>
      <c r="D7" s="30"/>
      <c r="E7" s="30"/>
      <c r="F7" s="30"/>
    </row>
    <row r="8" spans="2:12" ht="15" x14ac:dyDescent="0.3">
      <c r="B8" s="1"/>
      <c r="C8" s="2"/>
      <c r="D8" s="2"/>
      <c r="E8" s="2"/>
      <c r="F8" s="1"/>
    </row>
    <row r="9" spans="2:12" ht="15" x14ac:dyDescent="0.3">
      <c r="B9" s="1"/>
      <c r="C9" s="2"/>
      <c r="D9" s="2"/>
      <c r="E9" s="2"/>
      <c r="F9" s="1"/>
    </row>
    <row r="10" spans="2:12" ht="15" x14ac:dyDescent="0.3">
      <c r="B10" s="1"/>
      <c r="C10" s="2"/>
      <c r="D10" s="2"/>
      <c r="E10" s="2"/>
      <c r="F10" s="1"/>
    </row>
    <row r="11" spans="2:12" ht="15" x14ac:dyDescent="0.3">
      <c r="B11" s="1"/>
      <c r="C11" s="2"/>
      <c r="D11" s="2"/>
      <c r="E11" s="2"/>
      <c r="F11" s="1"/>
    </row>
    <row r="12" spans="2:12" ht="15" x14ac:dyDescent="0.3">
      <c r="B12" s="1"/>
      <c r="C12" s="2"/>
      <c r="D12" s="2"/>
      <c r="E12" s="2"/>
      <c r="F12" s="1"/>
    </row>
    <row r="13" spans="2:12" ht="15" x14ac:dyDescent="0.3">
      <c r="B13" s="1"/>
      <c r="C13" s="2"/>
      <c r="D13" s="2"/>
      <c r="E13" s="2"/>
      <c r="F13" s="1"/>
    </row>
    <row r="14" spans="2:12" ht="15.75" customHeight="1" x14ac:dyDescent="0.3">
      <c r="B14" s="1"/>
      <c r="C14" s="1"/>
      <c r="D14" s="28" t="s">
        <v>4</v>
      </c>
      <c r="E14" s="28"/>
      <c r="F14" s="28"/>
      <c r="G14" s="28"/>
      <c r="H14" s="28"/>
      <c r="I14" s="28"/>
    </row>
    <row r="15" spans="2:12" ht="15.6" x14ac:dyDescent="0.3">
      <c r="B15" s="3"/>
      <c r="C15" s="4" t="s">
        <v>41</v>
      </c>
      <c r="D15" s="5" t="s">
        <v>1</v>
      </c>
      <c r="E15" s="5" t="s">
        <v>2</v>
      </c>
      <c r="F15" s="5" t="s">
        <v>3</v>
      </c>
      <c r="G15" s="5" t="s">
        <v>5</v>
      </c>
      <c r="H15" s="5" t="s">
        <v>6</v>
      </c>
      <c r="I15" s="5" t="s">
        <v>0</v>
      </c>
      <c r="K15" s="29" t="s">
        <v>7</v>
      </c>
      <c r="L15" s="29"/>
    </row>
    <row r="16" spans="2:12" ht="15" x14ac:dyDescent="0.3">
      <c r="B16" s="6" t="s">
        <v>8</v>
      </c>
      <c r="C16" s="19">
        <v>440</v>
      </c>
      <c r="D16" s="7"/>
      <c r="E16" s="7"/>
      <c r="F16" s="7"/>
      <c r="G16" s="19">
        <f>+C16</f>
        <v>440</v>
      </c>
      <c r="H16" s="7"/>
      <c r="I16" s="7"/>
      <c r="K16" t="s">
        <v>9</v>
      </c>
      <c r="L16" s="21">
        <f>+D35</f>
        <v>21980</v>
      </c>
    </row>
    <row r="17" spans="2:12" ht="15.6" thickBot="1" x14ac:dyDescent="0.35">
      <c r="B17" s="6" t="s">
        <v>10</v>
      </c>
      <c r="C17" s="19">
        <v>491.81340000000006</v>
      </c>
      <c r="D17" s="7"/>
      <c r="E17" s="7"/>
      <c r="F17" s="7"/>
      <c r="G17" s="7"/>
      <c r="H17" s="7">
        <f>+C17</f>
        <v>491.81340000000006</v>
      </c>
      <c r="I17" s="7"/>
      <c r="K17" t="s">
        <v>11</v>
      </c>
      <c r="L17" s="23">
        <f>+E35</f>
        <v>13445</v>
      </c>
    </row>
    <row r="18" spans="2:12" ht="15.75" customHeight="1" x14ac:dyDescent="0.3">
      <c r="B18" s="6" t="s">
        <v>12</v>
      </c>
      <c r="C18" s="19">
        <v>443.49</v>
      </c>
      <c r="D18" s="7"/>
      <c r="E18" s="7"/>
      <c r="F18" s="26">
        <f>+C18</f>
        <v>443.49</v>
      </c>
      <c r="G18" s="7"/>
      <c r="H18" s="7"/>
      <c r="I18" s="7"/>
      <c r="K18" t="s">
        <v>13</v>
      </c>
      <c r="L18" s="8">
        <f>+L16-L17</f>
        <v>8535</v>
      </c>
    </row>
    <row r="19" spans="2:12" ht="17.25" customHeight="1" x14ac:dyDescent="0.3">
      <c r="B19" s="6" t="s">
        <v>14</v>
      </c>
      <c r="C19" s="19">
        <v>1500</v>
      </c>
      <c r="D19" s="7"/>
      <c r="E19" s="7"/>
      <c r="F19" s="7"/>
      <c r="G19" s="7"/>
      <c r="H19" s="7">
        <f>+C19</f>
        <v>1500</v>
      </c>
      <c r="I19" s="7"/>
      <c r="K19" t="s">
        <v>15</v>
      </c>
      <c r="L19" s="21">
        <f>+F27</f>
        <v>2555</v>
      </c>
    </row>
    <row r="20" spans="2:12" ht="15.6" thickBot="1" x14ac:dyDescent="0.35">
      <c r="B20" s="6" t="s">
        <v>16</v>
      </c>
      <c r="C20" s="19">
        <v>400</v>
      </c>
      <c r="D20" s="7"/>
      <c r="E20" s="7"/>
      <c r="F20" s="7"/>
      <c r="G20" s="7">
        <f>+C20</f>
        <v>400</v>
      </c>
      <c r="H20" s="7"/>
      <c r="I20" s="7"/>
      <c r="K20" t="s">
        <v>17</v>
      </c>
      <c r="L20" s="23">
        <f>+F29</f>
        <v>4090</v>
      </c>
    </row>
    <row r="21" spans="2:12" ht="15" x14ac:dyDescent="0.3">
      <c r="B21" s="6" t="s">
        <v>18</v>
      </c>
      <c r="C21" s="19">
        <v>675</v>
      </c>
      <c r="D21" s="7"/>
      <c r="E21" s="7"/>
      <c r="F21" s="7"/>
      <c r="G21" s="7">
        <f>-C21</f>
        <v>-675</v>
      </c>
      <c r="H21" s="7"/>
      <c r="I21" s="7"/>
      <c r="K21" t="s">
        <v>19</v>
      </c>
      <c r="L21" s="8">
        <f>+L18-L19-L20</f>
        <v>1890</v>
      </c>
    </row>
    <row r="22" spans="2:12" ht="15.6" thickBot="1" x14ac:dyDescent="0.35">
      <c r="B22" s="6" t="s">
        <v>20</v>
      </c>
      <c r="C22" s="19">
        <v>260</v>
      </c>
      <c r="D22" s="7"/>
      <c r="E22" s="7"/>
      <c r="F22" s="7"/>
      <c r="G22" s="7"/>
      <c r="H22" s="7"/>
      <c r="I22" s="7">
        <f>+C22</f>
        <v>260</v>
      </c>
      <c r="K22" t="s">
        <v>21</v>
      </c>
      <c r="L22" s="23">
        <f>+F18</f>
        <v>443.49</v>
      </c>
    </row>
    <row r="23" spans="2:12" ht="15" x14ac:dyDescent="0.3">
      <c r="B23" s="6" t="s">
        <v>22</v>
      </c>
      <c r="C23" s="19">
        <v>1985</v>
      </c>
      <c r="D23" s="7"/>
      <c r="E23" s="7"/>
      <c r="F23" s="7"/>
      <c r="G23" s="7">
        <f>+C23</f>
        <v>1985</v>
      </c>
      <c r="H23" s="7"/>
      <c r="I23" s="7"/>
      <c r="K23" t="s">
        <v>23</v>
      </c>
      <c r="L23" s="8">
        <f>+L21-L22</f>
        <v>1446.51</v>
      </c>
    </row>
    <row r="24" spans="2:12" ht="15.6" thickBot="1" x14ac:dyDescent="0.35">
      <c r="B24" s="6" t="s">
        <v>24</v>
      </c>
      <c r="C24" s="19">
        <v>1668</v>
      </c>
      <c r="D24" s="7"/>
      <c r="E24" s="7"/>
      <c r="F24" s="7"/>
      <c r="G24" s="7"/>
      <c r="H24" s="7">
        <f>+C24</f>
        <v>1668</v>
      </c>
      <c r="I24" s="7"/>
      <c r="K24" t="s">
        <v>25</v>
      </c>
      <c r="L24" s="10">
        <f>+H17</f>
        <v>491.81340000000006</v>
      </c>
    </row>
    <row r="25" spans="2:12" ht="17.399999999999999" x14ac:dyDescent="0.3">
      <c r="B25" s="6" t="s">
        <v>26</v>
      </c>
      <c r="C25" s="19">
        <v>1625</v>
      </c>
      <c r="D25" s="7"/>
      <c r="E25" s="7"/>
      <c r="F25" s="7"/>
      <c r="G25" s="7">
        <f>+C25</f>
        <v>1625</v>
      </c>
      <c r="H25" s="7"/>
      <c r="I25" s="7"/>
      <c r="K25" t="s">
        <v>27</v>
      </c>
      <c r="L25" s="24">
        <f>+L23-L24</f>
        <v>954.69659999999999</v>
      </c>
    </row>
    <row r="26" spans="2:12" ht="15" x14ac:dyDescent="0.3">
      <c r="B26" s="6" t="s">
        <v>28</v>
      </c>
      <c r="C26" s="19">
        <v>2205</v>
      </c>
      <c r="D26" s="7"/>
      <c r="E26" s="7"/>
      <c r="F26" s="7"/>
      <c r="G26" s="7"/>
      <c r="H26" s="7">
        <f>+C26</f>
        <v>2205</v>
      </c>
      <c r="I26" s="7"/>
    </row>
    <row r="27" spans="2:12" ht="15" x14ac:dyDescent="0.3">
      <c r="B27" s="6" t="s">
        <v>29</v>
      </c>
      <c r="C27" s="22">
        <v>2555</v>
      </c>
      <c r="D27" s="7"/>
      <c r="E27" s="7"/>
      <c r="F27" s="7">
        <f>+C27</f>
        <v>2555</v>
      </c>
      <c r="G27" s="7"/>
      <c r="H27" s="7"/>
      <c r="I27" s="7"/>
      <c r="K27" s="29" t="s">
        <v>43</v>
      </c>
      <c r="L27" s="29"/>
    </row>
    <row r="28" spans="2:12" ht="15" x14ac:dyDescent="0.3">
      <c r="B28" s="6" t="s">
        <v>30</v>
      </c>
      <c r="C28" s="19">
        <v>2550</v>
      </c>
      <c r="D28" s="7"/>
      <c r="E28" s="7"/>
      <c r="F28" s="7"/>
      <c r="G28" s="7">
        <f>+C28</f>
        <v>2550</v>
      </c>
      <c r="H28" s="7"/>
      <c r="I28" s="7"/>
      <c r="K28" s="9"/>
      <c r="L28" s="9"/>
    </row>
    <row r="29" spans="2:12" ht="15" x14ac:dyDescent="0.3">
      <c r="B29" s="6" t="s">
        <v>31</v>
      </c>
      <c r="C29" s="22">
        <v>4090</v>
      </c>
      <c r="D29" s="7"/>
      <c r="E29" s="7"/>
      <c r="F29" s="7">
        <f>+C29</f>
        <v>4090</v>
      </c>
      <c r="G29" s="7"/>
      <c r="H29" s="7"/>
      <c r="I29" s="7"/>
      <c r="K29" s="11" t="s">
        <v>32</v>
      </c>
      <c r="L29" s="20">
        <f>+G35</f>
        <v>12190</v>
      </c>
    </row>
    <row r="30" spans="2:12" ht="15" x14ac:dyDescent="0.3">
      <c r="B30" s="6" t="s">
        <v>33</v>
      </c>
      <c r="C30" s="19">
        <v>5865</v>
      </c>
      <c r="D30" s="7"/>
      <c r="E30" s="7"/>
      <c r="F30" s="7"/>
      <c r="G30" s="7">
        <f>+C30</f>
        <v>5865</v>
      </c>
      <c r="H30" s="7"/>
      <c r="I30" s="7"/>
      <c r="K30" s="11" t="s">
        <v>34</v>
      </c>
      <c r="L30" s="20">
        <f>+H35</f>
        <v>5864.8134</v>
      </c>
    </row>
    <row r="31" spans="2:12" ht="15" x14ac:dyDescent="0.3">
      <c r="B31" s="6" t="s">
        <v>35</v>
      </c>
      <c r="C31" s="19">
        <v>5110</v>
      </c>
      <c r="D31" s="7"/>
      <c r="E31" s="7"/>
      <c r="F31" s="7"/>
      <c r="G31" s="7"/>
      <c r="H31" s="7"/>
      <c r="I31" s="7">
        <f>+C31</f>
        <v>5110</v>
      </c>
      <c r="K31" s="11" t="s">
        <v>36</v>
      </c>
      <c r="L31" s="20">
        <f>+I35</f>
        <v>6324.6966000000002</v>
      </c>
    </row>
    <row r="32" spans="2:12" ht="15" x14ac:dyDescent="0.3">
      <c r="B32" s="6" t="s">
        <v>37</v>
      </c>
      <c r="C32" s="22">
        <v>13445</v>
      </c>
      <c r="D32" s="7"/>
      <c r="E32" s="7">
        <f>+C32</f>
        <v>13445</v>
      </c>
      <c r="F32" s="7"/>
      <c r="G32" s="7"/>
      <c r="H32" s="7"/>
      <c r="I32" s="7"/>
      <c r="K32" s="12"/>
      <c r="L32" s="13"/>
    </row>
    <row r="33" spans="2:12" ht="15" x14ac:dyDescent="0.3">
      <c r="B33" s="6" t="s">
        <v>38</v>
      </c>
      <c r="C33" s="22">
        <v>21980</v>
      </c>
      <c r="D33" s="27">
        <f>+C33</f>
        <v>21980</v>
      </c>
      <c r="E33" s="7"/>
      <c r="F33" s="7"/>
      <c r="G33" s="7"/>
      <c r="H33" s="7"/>
      <c r="I33" s="7"/>
      <c r="K33" s="11" t="s">
        <v>39</v>
      </c>
      <c r="L33" s="20">
        <f>+L30+L31</f>
        <v>12189.51</v>
      </c>
    </row>
    <row r="34" spans="2:12" ht="15.75" customHeight="1" x14ac:dyDescent="0.3">
      <c r="B34" s="6" t="s">
        <v>27</v>
      </c>
      <c r="C34" s="24">
        <f>+L25</f>
        <v>954.69659999999999</v>
      </c>
      <c r="D34" s="7"/>
      <c r="E34" s="7"/>
      <c r="F34" s="14"/>
      <c r="G34" s="14"/>
      <c r="H34" s="14"/>
      <c r="I34" s="15">
        <f>+C34</f>
        <v>954.69659999999999</v>
      </c>
      <c r="J34" s="9"/>
      <c r="K34" s="34" t="s">
        <v>45</v>
      </c>
      <c r="L34" s="9">
        <f>L29-L33</f>
        <v>0.48999999999978172</v>
      </c>
    </row>
    <row r="35" spans="2:12" ht="15.6" x14ac:dyDescent="0.3">
      <c r="B35" s="16" t="s">
        <v>40</v>
      </c>
      <c r="C35" s="17"/>
      <c r="D35" s="18">
        <f>SUM(D16:D34)</f>
        <v>21980</v>
      </c>
      <c r="E35" s="18">
        <f t="shared" ref="E35:I35" si="0">SUM(E16:E34)</f>
        <v>13445</v>
      </c>
      <c r="F35" s="18">
        <f t="shared" si="0"/>
        <v>7088.49</v>
      </c>
      <c r="G35" s="18">
        <f t="shared" si="0"/>
        <v>12190</v>
      </c>
      <c r="H35" s="18">
        <f t="shared" si="0"/>
        <v>5864.8134</v>
      </c>
      <c r="I35" s="18">
        <f t="shared" si="0"/>
        <v>6324.6966000000002</v>
      </c>
      <c r="J35" s="9"/>
    </row>
    <row r="36" spans="2:12" x14ac:dyDescent="0.3">
      <c r="D36" s="9"/>
      <c r="E36" s="9"/>
      <c r="F36" s="9"/>
      <c r="J36" s="9"/>
    </row>
    <row r="37" spans="2:12" ht="15.75" customHeight="1" x14ac:dyDescent="0.3">
      <c r="B37" s="1"/>
      <c r="C37" s="1"/>
      <c r="D37" s="28" t="s">
        <v>4</v>
      </c>
      <c r="E37" s="28"/>
      <c r="F37" s="28"/>
      <c r="G37" s="28"/>
      <c r="H37" s="28"/>
      <c r="I37" s="28"/>
      <c r="J37" s="9"/>
    </row>
    <row r="38" spans="2:12" ht="22.5" customHeight="1" x14ac:dyDescent="0.3">
      <c r="B38" s="3"/>
      <c r="C38" s="4" t="s">
        <v>42</v>
      </c>
      <c r="D38" s="5" t="s">
        <v>1</v>
      </c>
      <c r="E38" s="5" t="s">
        <v>2</v>
      </c>
      <c r="F38" s="5" t="s">
        <v>3</v>
      </c>
      <c r="G38" s="5" t="s">
        <v>5</v>
      </c>
      <c r="H38" s="5" t="s">
        <v>6</v>
      </c>
      <c r="I38" s="5" t="s">
        <v>0</v>
      </c>
      <c r="J38" s="9"/>
      <c r="K38" s="29" t="s">
        <v>7</v>
      </c>
      <c r="L38" s="29"/>
    </row>
    <row r="39" spans="2:12" ht="15" x14ac:dyDescent="0.3">
      <c r="B39" s="6" t="s">
        <v>8</v>
      </c>
      <c r="C39" s="19">
        <v>260</v>
      </c>
      <c r="D39" s="7"/>
      <c r="E39" s="7"/>
      <c r="F39" s="7"/>
      <c r="G39" s="19">
        <f>+C39</f>
        <v>260</v>
      </c>
      <c r="H39" s="7"/>
      <c r="I39" s="7"/>
      <c r="J39" s="9"/>
      <c r="K39" t="s">
        <v>9</v>
      </c>
      <c r="L39" s="21">
        <f>+D58</f>
        <v>30250</v>
      </c>
    </row>
    <row r="40" spans="2:12" ht="15.6" thickBot="1" x14ac:dyDescent="0.35">
      <c r="B40" s="6" t="s">
        <v>10</v>
      </c>
      <c r="C40" s="19">
        <v>522.10619999999994</v>
      </c>
      <c r="D40" s="7"/>
      <c r="E40" s="7"/>
      <c r="F40" s="7"/>
      <c r="G40" s="7"/>
      <c r="H40" s="7">
        <f>+C40</f>
        <v>522.10619999999994</v>
      </c>
      <c r="I40" s="7"/>
      <c r="J40" s="9"/>
      <c r="K40" t="s">
        <v>11</v>
      </c>
      <c r="L40" s="23">
        <f>+E58</f>
        <v>19610</v>
      </c>
    </row>
    <row r="41" spans="2:12" ht="15" x14ac:dyDescent="0.3">
      <c r="B41" s="6" t="s">
        <v>12</v>
      </c>
      <c r="C41" s="19">
        <v>877.86000000000013</v>
      </c>
      <c r="D41" s="7"/>
      <c r="E41" s="7"/>
      <c r="F41" s="26">
        <f>+C41</f>
        <v>877.86000000000013</v>
      </c>
      <c r="G41" s="7"/>
      <c r="H41" s="7"/>
      <c r="I41" s="7"/>
      <c r="J41" s="9"/>
      <c r="K41" t="s">
        <v>13</v>
      </c>
      <c r="L41" s="8">
        <f>+L39-L40</f>
        <v>10640</v>
      </c>
    </row>
    <row r="42" spans="2:12" ht="15" x14ac:dyDescent="0.3">
      <c r="B42" s="6" t="s">
        <v>14</v>
      </c>
      <c r="C42" s="19">
        <v>1250</v>
      </c>
      <c r="D42" s="7"/>
      <c r="E42" s="7"/>
      <c r="F42" s="7"/>
      <c r="G42" s="7"/>
      <c r="H42" s="7">
        <f>+C42</f>
        <v>1250</v>
      </c>
      <c r="I42" s="7"/>
      <c r="J42" s="9"/>
      <c r="K42" t="s">
        <v>15</v>
      </c>
      <c r="L42" s="21">
        <f>+F50</f>
        <v>3275</v>
      </c>
    </row>
    <row r="43" spans="2:12" ht="15.6" thickBot="1" x14ac:dyDescent="0.35">
      <c r="B43" s="6" t="s">
        <v>16</v>
      </c>
      <c r="C43" s="19">
        <v>500</v>
      </c>
      <c r="D43" s="7"/>
      <c r="E43" s="7"/>
      <c r="F43" s="7"/>
      <c r="G43" s="7">
        <f>+C43</f>
        <v>500</v>
      </c>
      <c r="H43" s="7"/>
      <c r="I43" s="7"/>
      <c r="J43" s="9"/>
      <c r="K43" t="s">
        <v>17</v>
      </c>
      <c r="L43" s="23">
        <f>+F52</f>
        <v>4905</v>
      </c>
    </row>
    <row r="44" spans="2:12" ht="15" x14ac:dyDescent="0.3">
      <c r="B44" s="6" t="s">
        <v>18</v>
      </c>
      <c r="C44" s="19">
        <v>1045</v>
      </c>
      <c r="D44" s="7"/>
      <c r="E44" s="7"/>
      <c r="F44" s="7"/>
      <c r="G44" s="7">
        <f>-C44</f>
        <v>-1045</v>
      </c>
      <c r="H44" s="7"/>
      <c r="I44" s="7"/>
      <c r="J44" s="9"/>
      <c r="K44" t="s">
        <v>19</v>
      </c>
      <c r="L44" s="8">
        <f>+L41-L42-L43</f>
        <v>2460</v>
      </c>
    </row>
    <row r="45" spans="2:12" ht="15.6" thickBot="1" x14ac:dyDescent="0.35">
      <c r="B45" s="6" t="s">
        <v>20</v>
      </c>
      <c r="C45" s="19">
        <v>1028</v>
      </c>
      <c r="D45" s="7"/>
      <c r="E45" s="7"/>
      <c r="F45" s="7"/>
      <c r="G45" s="7"/>
      <c r="H45" s="7"/>
      <c r="I45" s="7">
        <f>+C45</f>
        <v>1028</v>
      </c>
      <c r="J45" s="9"/>
      <c r="K45" t="s">
        <v>21</v>
      </c>
      <c r="L45" s="23">
        <f>+F41</f>
        <v>877.86000000000013</v>
      </c>
    </row>
    <row r="46" spans="2:12" ht="15" x14ac:dyDescent="0.3">
      <c r="B46" s="6" t="s">
        <v>22</v>
      </c>
      <c r="C46" s="19">
        <v>3230</v>
      </c>
      <c r="D46" s="7"/>
      <c r="E46" s="7"/>
      <c r="F46" s="7"/>
      <c r="G46" s="7">
        <f>+C46</f>
        <v>3230</v>
      </c>
      <c r="H46" s="7"/>
      <c r="I46" s="7"/>
      <c r="J46" s="9"/>
      <c r="K46" t="s">
        <v>23</v>
      </c>
      <c r="L46" s="8">
        <f>+L44-L45</f>
        <v>1582.1399999999999</v>
      </c>
    </row>
    <row r="47" spans="2:12" ht="15.6" thickBot="1" x14ac:dyDescent="0.35">
      <c r="B47" s="6" t="s">
        <v>24</v>
      </c>
      <c r="C47" s="19">
        <v>4711</v>
      </c>
      <c r="D47" s="7"/>
      <c r="E47" s="7"/>
      <c r="F47" s="7"/>
      <c r="G47" s="7"/>
      <c r="H47" s="7">
        <f>+C47</f>
        <v>4711</v>
      </c>
      <c r="I47" s="7"/>
      <c r="J47" s="9"/>
      <c r="K47" t="s">
        <v>25</v>
      </c>
      <c r="L47" s="10">
        <f>+H40</f>
        <v>522.10619999999994</v>
      </c>
    </row>
    <row r="48" spans="2:12" ht="17.399999999999999" x14ac:dyDescent="0.3">
      <c r="B48" s="6" t="s">
        <v>26</v>
      </c>
      <c r="C48" s="19">
        <v>3605</v>
      </c>
      <c r="D48" s="7"/>
      <c r="E48" s="7"/>
      <c r="F48" s="7"/>
      <c r="G48" s="7">
        <f>+C48</f>
        <v>3605</v>
      </c>
      <c r="H48" s="7"/>
      <c r="I48" s="7"/>
      <c r="J48" s="9"/>
      <c r="K48" t="s">
        <v>27</v>
      </c>
      <c r="L48" s="24">
        <f>+L46-L47</f>
        <v>1060.0337999999999</v>
      </c>
    </row>
    <row r="49" spans="2:12" ht="15" x14ac:dyDescent="0.3">
      <c r="B49" s="6" t="s">
        <v>28</v>
      </c>
      <c r="C49" s="19">
        <v>4009</v>
      </c>
      <c r="D49" s="7"/>
      <c r="E49" s="7"/>
      <c r="F49" s="7"/>
      <c r="G49" s="7"/>
      <c r="H49" s="7">
        <f>+C49</f>
        <v>4009</v>
      </c>
      <c r="I49" s="7"/>
      <c r="J49" s="9"/>
    </row>
    <row r="50" spans="2:12" ht="15" x14ac:dyDescent="0.3">
      <c r="B50" s="6" t="s">
        <v>29</v>
      </c>
      <c r="C50" s="19">
        <v>3275</v>
      </c>
      <c r="D50" s="7"/>
      <c r="E50" s="7"/>
      <c r="F50" s="7">
        <f>+C50</f>
        <v>3275</v>
      </c>
      <c r="G50" s="7"/>
      <c r="H50" s="7"/>
      <c r="I50" s="7"/>
      <c r="J50" s="9"/>
      <c r="K50" s="29" t="s">
        <v>43</v>
      </c>
      <c r="L50" s="29"/>
    </row>
    <row r="51" spans="2:12" ht="15" x14ac:dyDescent="0.3">
      <c r="B51" s="6" t="s">
        <v>30</v>
      </c>
      <c r="C51" s="19">
        <v>3750</v>
      </c>
      <c r="D51" s="7"/>
      <c r="E51" s="7"/>
      <c r="F51" s="7"/>
      <c r="G51" s="7">
        <f>+C51</f>
        <v>3750</v>
      </c>
      <c r="H51" s="7"/>
      <c r="I51" s="7"/>
      <c r="J51" s="9"/>
      <c r="K51" s="9"/>
      <c r="L51" s="9"/>
    </row>
    <row r="52" spans="2:12" ht="15" x14ac:dyDescent="0.3">
      <c r="B52" s="6" t="s">
        <v>31</v>
      </c>
      <c r="C52" s="19">
        <v>4905</v>
      </c>
      <c r="D52" s="7"/>
      <c r="E52" s="7"/>
      <c r="F52" s="7">
        <f>+C52</f>
        <v>4905</v>
      </c>
      <c r="G52" s="7"/>
      <c r="H52" s="7"/>
      <c r="I52" s="7"/>
      <c r="J52" s="9"/>
      <c r="K52" s="11" t="s">
        <v>32</v>
      </c>
      <c r="L52" s="20">
        <f>+G58</f>
        <v>18690</v>
      </c>
    </row>
    <row r="53" spans="2:12" ht="15" x14ac:dyDescent="0.3">
      <c r="B53" s="6" t="s">
        <v>33</v>
      </c>
      <c r="C53" s="19">
        <v>8390</v>
      </c>
      <c r="D53" s="7"/>
      <c r="E53" s="7"/>
      <c r="F53" s="7"/>
      <c r="G53" s="7">
        <f>+C53</f>
        <v>8390</v>
      </c>
      <c r="H53" s="7"/>
      <c r="I53" s="7"/>
      <c r="J53" s="9"/>
      <c r="K53" s="11" t="s">
        <v>34</v>
      </c>
      <c r="L53" s="20">
        <f>+H58</f>
        <v>10492.1062</v>
      </c>
    </row>
    <row r="54" spans="2:12" ht="15" x14ac:dyDescent="0.3">
      <c r="B54" s="6" t="s">
        <v>35</v>
      </c>
      <c r="C54" s="19">
        <v>6110</v>
      </c>
      <c r="D54" s="7"/>
      <c r="E54" s="7"/>
      <c r="F54" s="7"/>
      <c r="G54" s="7"/>
      <c r="H54" s="7"/>
      <c r="I54" s="7">
        <f>+C54</f>
        <v>6110</v>
      </c>
      <c r="J54" s="9"/>
      <c r="K54" s="11" t="s">
        <v>36</v>
      </c>
      <c r="L54" s="20">
        <f>+I58</f>
        <v>8198.0337999999992</v>
      </c>
    </row>
    <row r="55" spans="2:12" ht="15" x14ac:dyDescent="0.3">
      <c r="B55" s="6" t="s">
        <v>37</v>
      </c>
      <c r="C55" s="19">
        <v>19610</v>
      </c>
      <c r="D55" s="7"/>
      <c r="E55" s="7">
        <f>+C55</f>
        <v>19610</v>
      </c>
      <c r="F55" s="7"/>
      <c r="G55" s="7"/>
      <c r="H55" s="7"/>
      <c r="I55" s="7"/>
      <c r="J55" s="9"/>
      <c r="K55" s="12"/>
      <c r="L55" s="13"/>
    </row>
    <row r="56" spans="2:12" ht="15" x14ac:dyDescent="0.3">
      <c r="B56" s="6" t="s">
        <v>38</v>
      </c>
      <c r="C56" s="19">
        <v>30250</v>
      </c>
      <c r="D56" s="7">
        <f>+C56</f>
        <v>30250</v>
      </c>
      <c r="E56" s="7"/>
      <c r="F56" s="7"/>
      <c r="G56" s="7"/>
      <c r="H56" s="7"/>
      <c r="I56" s="7"/>
      <c r="J56" s="9"/>
      <c r="K56" s="11" t="s">
        <v>39</v>
      </c>
      <c r="L56" s="20">
        <f>+L53+L54</f>
        <v>18690.14</v>
      </c>
    </row>
    <row r="57" spans="2:12" ht="17.399999999999999" x14ac:dyDescent="0.3">
      <c r="B57" s="6" t="s">
        <v>27</v>
      </c>
      <c r="C57" s="25">
        <f>+L48</f>
        <v>1060.0337999999999</v>
      </c>
      <c r="D57" s="7"/>
      <c r="E57" s="7"/>
      <c r="F57" s="14"/>
      <c r="G57" s="14"/>
      <c r="H57" s="14"/>
      <c r="I57" s="15">
        <f>+C57</f>
        <v>1060.0337999999999</v>
      </c>
      <c r="J57" s="9"/>
      <c r="K57" s="34" t="s">
        <v>45</v>
      </c>
      <c r="L57" s="9">
        <f>L52-L56</f>
        <v>-0.13999999999941792</v>
      </c>
    </row>
    <row r="58" spans="2:12" ht="15.6" x14ac:dyDescent="0.3">
      <c r="B58" s="16" t="s">
        <v>40</v>
      </c>
      <c r="C58" s="17"/>
      <c r="D58" s="18">
        <f>SUM(D39:D57)</f>
        <v>30250</v>
      </c>
      <c r="E58" s="18">
        <f t="shared" ref="E58:I58" si="1">SUM(E39:E57)</f>
        <v>19610</v>
      </c>
      <c r="F58" s="18">
        <f t="shared" si="1"/>
        <v>9057.86</v>
      </c>
      <c r="G58" s="18">
        <f t="shared" si="1"/>
        <v>18690</v>
      </c>
      <c r="H58" s="18">
        <f t="shared" si="1"/>
        <v>10492.1062</v>
      </c>
      <c r="I58" s="18">
        <f t="shared" si="1"/>
        <v>8198.0337999999992</v>
      </c>
      <c r="J58" s="9"/>
    </row>
  </sheetData>
  <mergeCells count="12">
    <mergeCell ref="B7:F7"/>
    <mergeCell ref="B1:J1"/>
    <mergeCell ref="B2:J2"/>
    <mergeCell ref="B4:E4"/>
    <mergeCell ref="B5:E5"/>
    <mergeCell ref="B6:E6"/>
    <mergeCell ref="D37:I37"/>
    <mergeCell ref="K38:L38"/>
    <mergeCell ref="K50:L50"/>
    <mergeCell ref="D14:I14"/>
    <mergeCell ref="K15:L15"/>
    <mergeCell ref="K27:L2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 Actividad Escenario Cuatro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Hernando  Rodriguez Figueroa</dc:creator>
  <cp:lastModifiedBy>Filocaris Triana Pinzón</cp:lastModifiedBy>
  <dcterms:created xsi:type="dcterms:W3CDTF">2014-04-07T15:35:03Z</dcterms:created>
  <dcterms:modified xsi:type="dcterms:W3CDTF">2025-08-12T21:27:54Z</dcterms:modified>
</cp:coreProperties>
</file>