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pinzo\Downloads\"/>
    </mc:Choice>
  </mc:AlternateContent>
  <xr:revisionPtr revIDLastSave="0" documentId="13_ncr:1_{B3F832CE-0133-4E3E-A68E-0CFBD8462863}" xr6:coauthVersionLast="47" xr6:coauthVersionMax="47" xr10:uidLastSave="{00000000-0000-0000-0000-000000000000}"/>
  <bookViews>
    <workbookView xWindow="-108" yWindow="-108" windowWidth="23256" windowHeight="13176" firstSheet="3" activeTab="4" xr2:uid="{00000000-000D-0000-FFFF-FFFF00000000}"/>
  </bookViews>
  <sheets>
    <sheet name="DATOS" sheetId="1" r:id="rId1"/>
    <sheet name="ESTADO DE RESULTADOS" sheetId="2" r:id="rId2"/>
    <sheet name="ESTADO DE SITUACION FINANCIERA" sheetId="3" r:id="rId3"/>
    <sheet name="A V Y H DE ESTADO DE RESULTADOS" sheetId="4" r:id="rId4"/>
    <sheet name="A V Y H DEL EST. SITUA FRA." sheetId="5" r:id="rId5"/>
    <sheet name="INDICADOR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5" l="1"/>
  <c r="N10" i="5"/>
  <c r="N11" i="5"/>
  <c r="N12" i="5"/>
  <c r="N14" i="5"/>
  <c r="N15" i="5"/>
  <c r="N16" i="5"/>
  <c r="N17" i="5"/>
  <c r="N18" i="5"/>
  <c r="N19" i="5"/>
  <c r="N22" i="5"/>
  <c r="N23" i="5"/>
  <c r="N24" i="5"/>
  <c r="N25" i="5"/>
  <c r="N26" i="5"/>
  <c r="N27" i="5"/>
  <c r="N30" i="5"/>
  <c r="N31" i="5"/>
  <c r="N32" i="5"/>
  <c r="N33" i="5"/>
  <c r="N34" i="5"/>
  <c r="N9" i="5"/>
  <c r="K14" i="5"/>
  <c r="L10" i="5"/>
  <c r="L11" i="5"/>
  <c r="L12" i="5"/>
  <c r="L15" i="5"/>
  <c r="L16" i="5"/>
  <c r="L17" i="5"/>
  <c r="L18" i="5"/>
  <c r="L19" i="5"/>
  <c r="L22" i="5"/>
  <c r="L23" i="5"/>
  <c r="L24" i="5"/>
  <c r="L25" i="5"/>
  <c r="L26" i="5"/>
  <c r="L27" i="5"/>
  <c r="L30" i="5"/>
  <c r="L31" i="5"/>
  <c r="L32" i="5"/>
  <c r="L33" i="5"/>
  <c r="L9" i="5"/>
  <c r="M10" i="5"/>
  <c r="M11" i="5"/>
  <c r="M12" i="5"/>
  <c r="M14" i="5"/>
  <c r="M15" i="5"/>
  <c r="M16" i="5"/>
  <c r="M17" i="5"/>
  <c r="M18" i="5"/>
  <c r="M19" i="5"/>
  <c r="M22" i="5"/>
  <c r="M23" i="5"/>
  <c r="M24" i="5"/>
  <c r="M25" i="5"/>
  <c r="M26" i="5"/>
  <c r="M27" i="5"/>
  <c r="M30" i="5"/>
  <c r="M31" i="5"/>
  <c r="M32" i="5"/>
  <c r="M33" i="5"/>
  <c r="M34" i="5"/>
  <c r="M9" i="5"/>
  <c r="K10" i="5"/>
  <c r="K11" i="5"/>
  <c r="K12" i="5"/>
  <c r="K15" i="5"/>
  <c r="K16" i="5"/>
  <c r="K18" i="5"/>
  <c r="K19" i="5"/>
  <c r="K22" i="5"/>
  <c r="K23" i="5"/>
  <c r="K24" i="5"/>
  <c r="K25" i="5"/>
  <c r="K26" i="5"/>
  <c r="K27" i="5"/>
  <c r="K30" i="5"/>
  <c r="K31" i="5"/>
  <c r="K32" i="5"/>
  <c r="K33" i="5"/>
  <c r="K34" i="5"/>
  <c r="K9" i="5"/>
  <c r="H19" i="5"/>
  <c r="H22" i="5"/>
  <c r="H23" i="5"/>
  <c r="H24" i="5"/>
  <c r="H25" i="5"/>
  <c r="H26" i="5"/>
  <c r="H27" i="5"/>
  <c r="H30" i="5"/>
  <c r="H31" i="5"/>
  <c r="H32" i="5"/>
  <c r="H33" i="5"/>
  <c r="H34" i="5"/>
  <c r="I19" i="5"/>
  <c r="I22" i="5"/>
  <c r="I23" i="5"/>
  <c r="I24" i="5"/>
  <c r="I25" i="5"/>
  <c r="I26" i="5"/>
  <c r="I27" i="5"/>
  <c r="I30" i="5"/>
  <c r="I31" i="5"/>
  <c r="I32" i="5"/>
  <c r="I33" i="5"/>
  <c r="I34" i="5"/>
  <c r="I9" i="5"/>
  <c r="I10" i="5"/>
  <c r="I11" i="5"/>
  <c r="I12" i="5"/>
  <c r="I14" i="5"/>
  <c r="I15" i="5"/>
  <c r="I16" i="5"/>
  <c r="I17" i="5"/>
  <c r="I18" i="5"/>
  <c r="H9" i="5"/>
  <c r="H10" i="5"/>
  <c r="H11" i="5"/>
  <c r="H12" i="5"/>
  <c r="H14" i="5"/>
  <c r="H15" i="5"/>
  <c r="H16" i="5"/>
  <c r="H17" i="5"/>
  <c r="H18" i="5"/>
  <c r="G19" i="5"/>
  <c r="G22" i="5"/>
  <c r="G23" i="5"/>
  <c r="G24" i="5"/>
  <c r="G25" i="5"/>
  <c r="G26" i="5"/>
  <c r="G27" i="5"/>
  <c r="G30" i="5"/>
  <c r="G31" i="5"/>
  <c r="G32" i="5"/>
  <c r="G33" i="5"/>
  <c r="G34" i="5"/>
  <c r="G9" i="5"/>
  <c r="G10" i="5"/>
  <c r="G11" i="5"/>
  <c r="G12" i="5"/>
  <c r="G14" i="5"/>
  <c r="G15" i="5"/>
  <c r="G16" i="5"/>
  <c r="G17" i="5"/>
  <c r="G18" i="5"/>
  <c r="N10" i="4"/>
  <c r="N11" i="4"/>
  <c r="N12" i="4"/>
  <c r="N13" i="4"/>
  <c r="N14" i="4"/>
  <c r="N15" i="4"/>
  <c r="N16" i="4"/>
  <c r="N17" i="4"/>
  <c r="N18" i="4"/>
  <c r="N9" i="4"/>
  <c r="L10" i="4"/>
  <c r="L11" i="4"/>
  <c r="L12" i="4"/>
  <c r="L13" i="4"/>
  <c r="L14" i="4"/>
  <c r="L15" i="4"/>
  <c r="L16" i="4"/>
  <c r="L17" i="4"/>
  <c r="L18" i="4"/>
  <c r="L9" i="4"/>
  <c r="M10" i="4"/>
  <c r="M11" i="4"/>
  <c r="M12" i="4"/>
  <c r="M13" i="4"/>
  <c r="M14" i="4"/>
  <c r="M15" i="4"/>
  <c r="M16" i="4"/>
  <c r="M17" i="4"/>
  <c r="M18" i="4"/>
  <c r="M9" i="4"/>
  <c r="K11" i="4"/>
  <c r="K10" i="4"/>
  <c r="K12" i="4"/>
  <c r="K13" i="4"/>
  <c r="K14" i="4"/>
  <c r="K15" i="4"/>
  <c r="K16" i="4"/>
  <c r="K17" i="4"/>
  <c r="K18" i="4"/>
  <c r="K9" i="4"/>
  <c r="I11" i="4"/>
  <c r="I12" i="4"/>
  <c r="I13" i="4"/>
  <c r="I14" i="4"/>
  <c r="I15" i="4"/>
  <c r="I16" i="4"/>
  <c r="I17" i="4"/>
  <c r="I18" i="4"/>
  <c r="H11" i="4"/>
  <c r="H12" i="4"/>
  <c r="H13" i="4"/>
  <c r="H14" i="4"/>
  <c r="H15" i="4"/>
  <c r="H16" i="4"/>
  <c r="H17" i="4"/>
  <c r="H18" i="4"/>
  <c r="I10" i="4"/>
  <c r="H10" i="4"/>
  <c r="D9" i="5"/>
  <c r="D12" i="5" s="1"/>
  <c r="E9" i="5"/>
  <c r="E12" i="5" s="1"/>
  <c r="D10" i="5"/>
  <c r="E10" i="5"/>
  <c r="D11" i="5"/>
  <c r="E11" i="5"/>
  <c r="D14" i="5"/>
  <c r="E14" i="5"/>
  <c r="D15" i="5"/>
  <c r="E15" i="5"/>
  <c r="D16" i="5"/>
  <c r="E16" i="5"/>
  <c r="D17" i="5"/>
  <c r="E17" i="5"/>
  <c r="D22" i="5"/>
  <c r="D25" i="5" s="1"/>
  <c r="D27" i="5" s="1"/>
  <c r="D34" i="5" s="1"/>
  <c r="E22" i="5"/>
  <c r="E25" i="5" s="1"/>
  <c r="E27" i="5" s="1"/>
  <c r="E34" i="5" s="1"/>
  <c r="D23" i="5"/>
  <c r="E23" i="5"/>
  <c r="D24" i="5"/>
  <c r="E24" i="5"/>
  <c r="D26" i="5"/>
  <c r="E26" i="5"/>
  <c r="D30" i="5"/>
  <c r="E30" i="5"/>
  <c r="D31" i="5"/>
  <c r="E31" i="5"/>
  <c r="D32" i="5"/>
  <c r="E32" i="5"/>
  <c r="D33" i="5"/>
  <c r="E33" i="5"/>
  <c r="C33" i="5"/>
  <c r="C32" i="5"/>
  <c r="C31" i="5"/>
  <c r="C30" i="5"/>
  <c r="C26" i="5"/>
  <c r="C24" i="5"/>
  <c r="C23" i="5"/>
  <c r="C22" i="5"/>
  <c r="C25" i="5" s="1"/>
  <c r="C27" i="5" s="1"/>
  <c r="G12" i="4"/>
  <c r="G14" i="4"/>
  <c r="G16" i="4"/>
  <c r="G18" i="4"/>
  <c r="G10" i="4"/>
  <c r="C18" i="5"/>
  <c r="D19" i="3"/>
  <c r="C17" i="5" s="1"/>
  <c r="C16" i="5"/>
  <c r="C15" i="5"/>
  <c r="C14" i="5"/>
  <c r="C11" i="5"/>
  <c r="C10" i="5"/>
  <c r="C9" i="5"/>
  <c r="C12" i="5" s="1"/>
  <c r="D9" i="4"/>
  <c r="E9" i="4"/>
  <c r="D10" i="4"/>
  <c r="E10" i="4"/>
  <c r="E11" i="4" s="1"/>
  <c r="E14" i="4" s="1"/>
  <c r="E16" i="4" s="1"/>
  <c r="E18" i="4" s="1"/>
  <c r="D11" i="4"/>
  <c r="D12" i="4"/>
  <c r="E12" i="4"/>
  <c r="D13" i="4"/>
  <c r="E13" i="4"/>
  <c r="D14" i="4"/>
  <c r="D15" i="4"/>
  <c r="E15" i="4"/>
  <c r="D16" i="4"/>
  <c r="D18" i="4" s="1"/>
  <c r="D17" i="4"/>
  <c r="E17" i="4"/>
  <c r="C18" i="4"/>
  <c r="C17" i="4"/>
  <c r="C16" i="4"/>
  <c r="C15" i="4"/>
  <c r="C14" i="4"/>
  <c r="C13" i="4"/>
  <c r="C12" i="4"/>
  <c r="C11" i="4"/>
  <c r="C10" i="4"/>
  <c r="C9" i="4"/>
  <c r="E13" i="3"/>
  <c r="E14" i="3"/>
  <c r="E11" i="3"/>
  <c r="E12" i="3"/>
  <c r="F11" i="3"/>
  <c r="F12" i="3"/>
  <c r="F13" i="3"/>
  <c r="F14" i="3"/>
  <c r="F21" i="3" s="1"/>
  <c r="E16" i="3"/>
  <c r="E20" i="3" s="1"/>
  <c r="F16" i="3"/>
  <c r="E17" i="3"/>
  <c r="F17" i="3"/>
  <c r="E18" i="3"/>
  <c r="F18" i="3"/>
  <c r="E19" i="3"/>
  <c r="F19" i="3"/>
  <c r="F20" i="3"/>
  <c r="E24" i="3"/>
  <c r="E27" i="3" s="1"/>
  <c r="E29" i="3" s="1"/>
  <c r="E36" i="3" s="1"/>
  <c r="F24" i="3"/>
  <c r="F27" i="3" s="1"/>
  <c r="F29" i="3" s="1"/>
  <c r="E25" i="3"/>
  <c r="F25" i="3"/>
  <c r="E26" i="3"/>
  <c r="F26" i="3"/>
  <c r="E28" i="3"/>
  <c r="F28" i="3"/>
  <c r="E32" i="3"/>
  <c r="F32" i="3"/>
  <c r="E33" i="3"/>
  <c r="F33" i="3"/>
  <c r="E34" i="3"/>
  <c r="F34" i="3"/>
  <c r="E35" i="3"/>
  <c r="F35" i="3"/>
  <c r="D29" i="3"/>
  <c r="D36" i="3" s="1"/>
  <c r="D28" i="3"/>
  <c r="D27" i="3"/>
  <c r="D35" i="3"/>
  <c r="D33" i="3"/>
  <c r="D34" i="3"/>
  <c r="D32" i="3"/>
  <c r="D26" i="3"/>
  <c r="D25" i="3"/>
  <c r="D24" i="3"/>
  <c r="D20" i="3"/>
  <c r="D21" i="3" s="1"/>
  <c r="D14" i="3"/>
  <c r="D17" i="3"/>
  <c r="D18" i="3"/>
  <c r="D16" i="3"/>
  <c r="D13" i="3"/>
  <c r="D12" i="3"/>
  <c r="E19" i="2"/>
  <c r="F19" i="2"/>
  <c r="D24" i="2"/>
  <c r="E21" i="2"/>
  <c r="F21" i="2"/>
  <c r="E16" i="2"/>
  <c r="F16" i="2"/>
  <c r="E17" i="2"/>
  <c r="F17" i="2"/>
  <c r="E13" i="2"/>
  <c r="F13" i="2"/>
  <c r="E14" i="2"/>
  <c r="E15" i="2" s="1"/>
  <c r="E18" i="2" s="1"/>
  <c r="E20" i="2" s="1"/>
  <c r="E22" i="2" s="1"/>
  <c r="F14" i="2"/>
  <c r="F15" i="2" s="1"/>
  <c r="F18" i="2" s="1"/>
  <c r="F20" i="2" s="1"/>
  <c r="D15" i="2"/>
  <c r="D18" i="2" s="1"/>
  <c r="D20" i="2" s="1"/>
  <c r="D22" i="2" s="1"/>
  <c r="D21" i="2"/>
  <c r="D19" i="2"/>
  <c r="D17" i="2"/>
  <c r="D16" i="2"/>
  <c r="D14" i="2"/>
  <c r="D13" i="2"/>
  <c r="D11" i="3"/>
  <c r="C34" i="5" l="1"/>
  <c r="C19" i="5"/>
  <c r="E18" i="5"/>
  <c r="E19" i="5" s="1"/>
  <c r="D18" i="5"/>
  <c r="D19" i="5" s="1"/>
  <c r="E21" i="3"/>
  <c r="E37" i="3" s="1"/>
  <c r="F36" i="3"/>
  <c r="F37" i="3" s="1"/>
  <c r="F22" i="2"/>
  <c r="E46" i="5"/>
  <c r="D46" i="5"/>
  <c r="E44" i="5"/>
  <c r="E47" i="5" s="1"/>
  <c r="D44" i="5"/>
  <c r="D47" i="5" s="1"/>
  <c r="C44" i="5"/>
  <c r="E35" i="5"/>
  <c r="D35" i="5"/>
  <c r="E24" i="2"/>
  <c r="F24" i="2"/>
  <c r="D37" i="3"/>
  <c r="C35" i="5" l="1"/>
  <c r="D48" i="5"/>
  <c r="E48" i="5"/>
</calcChain>
</file>

<file path=xl/sharedStrings.xml><?xml version="1.0" encoding="utf-8"?>
<sst xmlns="http://schemas.openxmlformats.org/spreadsheetml/2006/main" count="245" uniqueCount="133">
  <si>
    <t>ESTADO DE RESULTADOS</t>
  </si>
  <si>
    <t>Año 1</t>
  </si>
  <si>
    <t>Año 2</t>
  </si>
  <si>
    <t>Año 3</t>
  </si>
  <si>
    <t>Caja y Bancos</t>
  </si>
  <si>
    <t>Impuesto de renta por pagar</t>
  </si>
  <si>
    <t xml:space="preserve">Intereses(Gastos financieros) </t>
  </si>
  <si>
    <t>Obligaciones financieras largo plazo</t>
  </si>
  <si>
    <t>Terrenos</t>
  </si>
  <si>
    <t>Depreciación Acumulada</t>
  </si>
  <si>
    <t>Utilidades retenidas</t>
  </si>
  <si>
    <t>Inventarios</t>
  </si>
  <si>
    <t>Obligaciones financieras Corto Plazo</t>
  </si>
  <si>
    <t>Maquinaria y Equipo</t>
  </si>
  <si>
    <t>Proveedores</t>
  </si>
  <si>
    <t xml:space="preserve">Gastos de Administración </t>
  </si>
  <si>
    <t>Edificios</t>
  </si>
  <si>
    <t xml:space="preserve">Gastos de Ventas </t>
  </si>
  <si>
    <t>Cuentas por cobrar</t>
  </si>
  <si>
    <t>Capital</t>
  </si>
  <si>
    <t xml:space="preserve">Costo de Productos vendidos </t>
  </si>
  <si>
    <t xml:space="preserve">Ventas netas (100% a crédito) </t>
  </si>
  <si>
    <t>ELABORACION DE ESTADOS FINANCIEROS</t>
  </si>
  <si>
    <t>ACTIVIDAD DE REFUERZO ESCENARIO SEIS</t>
  </si>
  <si>
    <t>EMPRESA MANUFACTURERA S.A.</t>
  </si>
  <si>
    <t>Del 1 al 31 de Diciembre</t>
  </si>
  <si>
    <t>(Cifras en millones de pesos)</t>
  </si>
  <si>
    <t xml:space="preserve"> Ventas netas (100% a crédito) </t>
  </si>
  <si>
    <t xml:space="preserve"> Menos : Costo de Productos vendidos </t>
  </si>
  <si>
    <t xml:space="preserve"> UTILIDAD BRUTA EN VENTAS </t>
  </si>
  <si>
    <t xml:space="preserve"> Menos: Gastos de Administración </t>
  </si>
  <si>
    <t xml:space="preserve">               Gastos de Ventas </t>
  </si>
  <si>
    <t xml:space="preserve"> UTILIDAD OPERACIONAL (U.A.I.I.) </t>
  </si>
  <si>
    <t xml:space="preserve"> Menos Intereses(Gastos financieros) </t>
  </si>
  <si>
    <t xml:space="preserve">  = UTILIDAD ANTES DE IMPUESTOS (UAI) </t>
  </si>
  <si>
    <t xml:space="preserve">     Menos Impuestos </t>
  </si>
  <si>
    <t xml:space="preserve">  = UTILIDAD NETA </t>
  </si>
  <si>
    <t>Tasa de impuesto a la renta</t>
  </si>
  <si>
    <t>AÑO 1</t>
  </si>
  <si>
    <t>AÑO 2</t>
  </si>
  <si>
    <t>AÑO 3</t>
  </si>
  <si>
    <t xml:space="preserve"> = UTILIDAD BRUTA EN VENTAS </t>
  </si>
  <si>
    <t xml:space="preserve"> = UTILIDAD OPERACIONAL (U.A.I.I.) </t>
  </si>
  <si>
    <t>A 31 de Diciembre</t>
  </si>
  <si>
    <t>ACTIVOS</t>
  </si>
  <si>
    <t>Caja y Bancos (Efectivo)</t>
  </si>
  <si>
    <t>Total Activos Corrientes</t>
  </si>
  <si>
    <t>Total Activos Fijos</t>
  </si>
  <si>
    <t>TOTAL ACTIVOS</t>
  </si>
  <si>
    <t>PASIVOS</t>
  </si>
  <si>
    <t>Impuestos por pagar</t>
  </si>
  <si>
    <t>Total Pasivo Corriente o Corto Plazo</t>
  </si>
  <si>
    <t>TOTAL PASIVO</t>
  </si>
  <si>
    <t>PATRIMONIO</t>
  </si>
  <si>
    <t>Utilidad del ejercicio</t>
  </si>
  <si>
    <t>Total Patrimonio</t>
  </si>
  <si>
    <t>TOTAL PASIVO Y PATRIMONIO</t>
  </si>
  <si>
    <t>CHEQUEO</t>
  </si>
  <si>
    <t>ESTADO DE SITUACION FINANCIERA</t>
  </si>
  <si>
    <t>LECTURA VERTICAL</t>
  </si>
  <si>
    <t>LECTURA HORIZONTAL</t>
  </si>
  <si>
    <t>Año 2 con 1</t>
  </si>
  <si>
    <t>Año 3 con 2</t>
  </si>
  <si>
    <t>PESOS</t>
  </si>
  <si>
    <t>PORCENTAJE</t>
  </si>
  <si>
    <t xml:space="preserve">            Gastos de Ventas </t>
  </si>
  <si>
    <t>Total Pasivos Corrientes o a Corto Plazo</t>
  </si>
  <si>
    <t>DATOS PARA CALCULO DEL C.C.P.P.</t>
  </si>
  <si>
    <t>Pasivo financiero</t>
  </si>
  <si>
    <t>Patrimonio con costo</t>
  </si>
  <si>
    <t>ACTIVOS FINANCIADOS CON COSTO FINANCIERO</t>
  </si>
  <si>
    <t>COSTO DE LA DEUDA: (Ki) o (Kd)</t>
  </si>
  <si>
    <t>Tasa de la deuda de corto plazo</t>
  </si>
  <si>
    <t>Tasa de la deuda de largo plazo</t>
  </si>
  <si>
    <t>Gastos financieros (deudas a corto plazo)</t>
  </si>
  <si>
    <t>Gastos financieros (deudas a largo plazo)</t>
  </si>
  <si>
    <t>TOTAL GASTOS FINANCIEROS</t>
  </si>
  <si>
    <t>Costo de la deuda promedio (Kd)</t>
  </si>
  <si>
    <t>Costo de la deuda promedio después de impuestos(Kdt)</t>
  </si>
  <si>
    <t>COSTO CAPITAL:(Ke)</t>
  </si>
  <si>
    <t>DETERMINE A SU CRITERIO EL COSTO DE CAPITAL.</t>
  </si>
  <si>
    <t>(tener en cuenta que debe ser mayor al costo de la deuda Kdt.)</t>
  </si>
  <si>
    <t>Tamaño de las cuentas principales</t>
  </si>
  <si>
    <t>Ventas netas</t>
  </si>
  <si>
    <t>Activos</t>
  </si>
  <si>
    <t>Utilidad Neta</t>
  </si>
  <si>
    <t>Patrimonio</t>
  </si>
  <si>
    <t>Tamaño de las cuentas de activos</t>
  </si>
  <si>
    <t>Caja, Bancos (Efectivo)</t>
  </si>
  <si>
    <t>Activos fijos</t>
  </si>
  <si>
    <t>Tamaño de las cuentas de resultados</t>
  </si>
  <si>
    <t>Ventas</t>
  </si>
  <si>
    <t>Costo de ventas</t>
  </si>
  <si>
    <t>Gastos de operación</t>
  </si>
  <si>
    <t>Gastos financieros</t>
  </si>
  <si>
    <t>Dinámica de las cuentas principales</t>
  </si>
  <si>
    <t>Crecimiento en ventas</t>
  </si>
  <si>
    <t>Crecimiento en activos</t>
  </si>
  <si>
    <t>Crecimiento en utilidad Neta</t>
  </si>
  <si>
    <t>Crecimiento en patrimonio</t>
  </si>
  <si>
    <t>Dinámica de las cuentas de activos</t>
  </si>
  <si>
    <t>Crecimiento en efectivo</t>
  </si>
  <si>
    <t>Crecimiento en cuentas por cobrar</t>
  </si>
  <si>
    <t>Crecimiento en inventarios</t>
  </si>
  <si>
    <t>Crecimiento en activos fijos</t>
  </si>
  <si>
    <t>Dinámica de las cuentas de resultados</t>
  </si>
  <si>
    <t>Crecimiento en costo de ventas</t>
  </si>
  <si>
    <t>Crecimiento en gastos de operación</t>
  </si>
  <si>
    <t>Crecimiento en gastos financieros</t>
  </si>
  <si>
    <t>Margen sobre ventas</t>
  </si>
  <si>
    <t>Margen bruto</t>
  </si>
  <si>
    <t>Margen operativo</t>
  </si>
  <si>
    <t>Margan antes de impuestos</t>
  </si>
  <si>
    <t>Margen neto</t>
  </si>
  <si>
    <t>Apalancamiento financiero</t>
  </si>
  <si>
    <t>Endeudamiento</t>
  </si>
  <si>
    <t>Endeudamiento total</t>
  </si>
  <si>
    <t>Pasivo total/ventas</t>
  </si>
  <si>
    <t>Pasivo corriente / pasivo total</t>
  </si>
  <si>
    <t>Eficiencia</t>
  </si>
  <si>
    <t>Rotación de cartera</t>
  </si>
  <si>
    <t>Rotación de inventarios de materia prima</t>
  </si>
  <si>
    <t>Rotación de inventarios de productos en proceso</t>
  </si>
  <si>
    <t>Rotación de inventarios de productos terminados</t>
  </si>
  <si>
    <t>Rotación proveedores</t>
  </si>
  <si>
    <t>Días de cartera</t>
  </si>
  <si>
    <t>Días de inventarios</t>
  </si>
  <si>
    <t>Dias del sistema de circulacion de fondos</t>
  </si>
  <si>
    <t>Días de proveedores</t>
  </si>
  <si>
    <t>Ciclo operativo</t>
  </si>
  <si>
    <t>CAPITAL DE TRABAJO OPERATIVO</t>
  </si>
  <si>
    <t>Capital de trabajo operativo (KTO)</t>
  </si>
  <si>
    <t>Capital de trabajo neto operativo (KTNO)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</si>
</sst>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Red]\-#,##0\ "/>
  </numFmts>
  <fonts count="23" x14ac:knownFonts="1">
    <font>
      <sz val="11"/>
      <color theme="1"/>
      <name val="Calibri"/>
      <family val="2"/>
      <scheme val="minor"/>
    </font>
    <font>
      <sz val="11"/>
      <color theme="1"/>
      <name val="Calibri"/>
      <family val="2"/>
      <scheme val="minor"/>
    </font>
    <font>
      <b/>
      <sz val="11"/>
      <color theme="1"/>
      <name val="Calibri"/>
      <family val="2"/>
      <scheme val="minor"/>
    </font>
    <font>
      <b/>
      <sz val="18"/>
      <color rgb="FFFF0000"/>
      <name val="Calibri"/>
      <family val="2"/>
      <scheme val="minor"/>
    </font>
    <font>
      <b/>
      <sz val="14"/>
      <color rgb="FFFF0000"/>
      <name val="Calibri"/>
      <family val="2"/>
      <scheme val="minor"/>
    </font>
    <font>
      <b/>
      <sz val="12"/>
      <color rgb="FF000000"/>
      <name val="Arial"/>
      <family val="2"/>
    </font>
    <font>
      <sz val="12"/>
      <color rgb="FF000000"/>
      <name val="Arial"/>
      <family val="2"/>
    </font>
    <font>
      <b/>
      <sz val="12"/>
      <color theme="0"/>
      <name val="Arial"/>
      <family val="2"/>
    </font>
    <font>
      <sz val="16"/>
      <color rgb="FF000000"/>
      <name val="Arial"/>
      <family val="2"/>
    </font>
    <font>
      <sz val="10"/>
      <color indexed="8"/>
      <name val="Arial"/>
      <family val="2"/>
    </font>
    <font>
      <b/>
      <sz val="11"/>
      <color indexed="9"/>
      <name val="Calibri"/>
      <family val="2"/>
    </font>
    <font>
      <b/>
      <sz val="11"/>
      <name val="Calibri"/>
      <family val="2"/>
    </font>
    <font>
      <b/>
      <sz val="12"/>
      <color indexed="8"/>
      <name val="Arial"/>
      <family val="2"/>
    </font>
    <font>
      <sz val="12"/>
      <color indexed="8"/>
      <name val="Arial"/>
      <family val="2"/>
    </font>
    <font>
      <b/>
      <sz val="11"/>
      <color indexed="8"/>
      <name val="Calibri"/>
      <family val="2"/>
    </font>
    <font>
      <sz val="16"/>
      <color indexed="8"/>
      <name val="Arial"/>
      <family val="2"/>
    </font>
    <font>
      <sz val="11"/>
      <color indexed="8"/>
      <name val="Calibri"/>
      <family val="2"/>
    </font>
    <font>
      <b/>
      <u/>
      <sz val="14"/>
      <color theme="1"/>
      <name val="Calibri"/>
      <family val="2"/>
      <scheme val="minor"/>
    </font>
    <font>
      <sz val="14"/>
      <color theme="1"/>
      <name val="Calibri"/>
      <family val="2"/>
      <scheme val="minor"/>
    </font>
    <font>
      <sz val="11"/>
      <color indexed="8"/>
      <name val="Arial"/>
      <family val="2"/>
    </font>
    <font>
      <u/>
      <sz val="11"/>
      <color theme="1"/>
      <name val="Calibri"/>
      <family val="2"/>
      <scheme val="minor"/>
    </font>
    <font>
      <sz val="11"/>
      <color rgb="FF000000"/>
      <name val="Calibri"/>
      <family val="2"/>
      <scheme val="minor"/>
    </font>
    <font>
      <b/>
      <sz val="11"/>
      <color theme="0"/>
      <name val="Arial"/>
      <family val="2"/>
    </font>
  </fonts>
  <fills count="14">
    <fill>
      <patternFill patternType="none"/>
    </fill>
    <fill>
      <patternFill patternType="gray125"/>
    </fill>
    <fill>
      <patternFill patternType="solid">
        <fgColor rgb="FF002060"/>
        <bgColor indexed="64"/>
      </patternFill>
    </fill>
    <fill>
      <patternFill patternType="solid">
        <fgColor theme="6" tint="-0.249977111117893"/>
        <bgColor indexed="64"/>
      </patternFill>
    </fill>
    <fill>
      <patternFill patternType="solid">
        <fgColor theme="9" tint="-0.499984740745262"/>
        <bgColor indexed="64"/>
      </patternFill>
    </fill>
    <fill>
      <patternFill patternType="solid">
        <fgColor indexed="56"/>
        <bgColor indexed="64"/>
      </patternFill>
    </fill>
    <fill>
      <patternFill patternType="solid">
        <fgColor theme="6" tint="0.39997558519241921"/>
        <bgColor indexed="64"/>
      </patternFill>
    </fill>
    <fill>
      <patternFill patternType="solid">
        <fgColor indexed="57"/>
        <bgColor indexed="64"/>
      </patternFill>
    </fill>
    <fill>
      <patternFill patternType="solid">
        <fgColor indexed="55"/>
        <bgColor indexed="64"/>
      </patternFill>
    </fill>
    <fill>
      <patternFill patternType="solid">
        <fgColor theme="6" tint="0.79998168889431442"/>
        <bgColor indexed="64"/>
      </patternFill>
    </fill>
    <fill>
      <patternFill patternType="solid">
        <fgColor indexed="28"/>
        <bgColor indexed="64"/>
      </patternFill>
    </fill>
    <fill>
      <patternFill patternType="solid">
        <fgColor indexed="21"/>
        <bgColor indexed="64"/>
      </patternFill>
    </fill>
    <fill>
      <patternFill patternType="solid">
        <fgColor indexed="60"/>
        <bgColor indexed="64"/>
      </patternFill>
    </fill>
    <fill>
      <patternFill patternType="solid">
        <fgColor theme="6" tint="-0.499984740745262"/>
        <bgColor indexed="64"/>
      </patternFill>
    </fill>
  </fills>
  <borders count="6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ck">
        <color indexed="64"/>
      </bottom>
      <diagonal/>
    </border>
    <border>
      <left/>
      <right/>
      <top/>
      <bottom style="double">
        <color indexed="64"/>
      </bottom>
      <diagonal/>
    </border>
    <border>
      <left/>
      <right/>
      <top style="thick">
        <color indexed="64"/>
      </top>
      <bottom style="double">
        <color rgb="FF000000"/>
      </bottom>
      <diagonal/>
    </border>
    <border>
      <left/>
      <right/>
      <top style="thick">
        <color indexed="64"/>
      </top>
      <bottom style="medium">
        <color indexed="64"/>
      </bottom>
      <diagonal/>
    </border>
    <border>
      <left/>
      <right/>
      <top/>
      <bottom style="double">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style="thin">
        <color indexed="9"/>
      </top>
      <bottom/>
      <diagonal/>
    </border>
    <border>
      <left style="thin">
        <color indexed="64"/>
      </left>
      <right/>
      <top style="thin">
        <color indexed="9"/>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9"/>
      </left>
      <right/>
      <top style="thin">
        <color indexed="9"/>
      </top>
      <bottom/>
      <diagonal/>
    </border>
    <border>
      <left/>
      <right style="thin">
        <color indexed="9"/>
      </right>
      <top style="thin">
        <color indexed="9"/>
      </top>
      <bottom/>
      <diagonal/>
    </border>
    <border>
      <left style="thin">
        <color indexed="64"/>
      </left>
      <right style="thin">
        <color indexed="64"/>
      </right>
      <top style="thin">
        <color indexed="64"/>
      </top>
      <bottom style="thin">
        <color indexed="64"/>
      </bottom>
      <diagonal/>
    </border>
    <border>
      <left/>
      <right/>
      <top style="thick">
        <color indexed="64"/>
      </top>
      <bottom style="double">
        <color indexed="8"/>
      </bottom>
      <diagonal/>
    </border>
    <border>
      <left/>
      <right/>
      <top/>
      <bottom style="thin">
        <color indexed="64"/>
      </bottom>
      <diagonal/>
    </border>
    <border>
      <left/>
      <right/>
      <top/>
      <bottom style="double">
        <color indexed="8"/>
      </bottom>
      <diagonal/>
    </border>
    <border>
      <left style="medium">
        <color theme="1" tint="0.499984740745262"/>
      </left>
      <right/>
      <top style="medium">
        <color theme="1" tint="0.499984740745262"/>
      </top>
      <bottom/>
      <diagonal/>
    </border>
    <border>
      <left/>
      <right/>
      <top style="medium">
        <color theme="1" tint="0.499984740745262"/>
      </top>
      <bottom style="thin">
        <color indexed="64"/>
      </bottom>
      <diagonal/>
    </border>
    <border>
      <left/>
      <right style="medium">
        <color theme="1" tint="0.499984740745262"/>
      </right>
      <top style="medium">
        <color theme="1" tint="0.499984740745262"/>
      </top>
      <bottom style="thin">
        <color indexed="64"/>
      </bottom>
      <diagonal/>
    </border>
    <border>
      <left style="medium">
        <color theme="1" tint="0.499984740745262"/>
      </left>
      <right/>
      <top/>
      <bottom/>
      <diagonal/>
    </border>
    <border>
      <left/>
      <right style="medium">
        <color theme="1" tint="0.499984740745262"/>
      </right>
      <top/>
      <bottom/>
      <diagonal/>
    </border>
    <border>
      <left/>
      <right style="medium">
        <color theme="1" tint="0.499984740745262"/>
      </right>
      <top/>
      <bottom style="thin">
        <color indexed="64"/>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right style="thin">
        <color indexed="64"/>
      </right>
      <top/>
      <bottom style="thick">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07">
    <xf numFmtId="0" fontId="0" fillId="0" borderId="0" xfId="0"/>
    <xf numFmtId="0" fontId="6" fillId="0" borderId="0" xfId="0" applyFont="1" applyAlignment="1">
      <alignment horizontal="center" vertical="top" wrapText="1"/>
    </xf>
    <xf numFmtId="3" fontId="6" fillId="0" borderId="0" xfId="0" applyNumberFormat="1" applyFont="1" applyAlignment="1">
      <alignment horizontal="center" vertical="top" wrapText="1"/>
    </xf>
    <xf numFmtId="0" fontId="6" fillId="0" borderId="0" xfId="0" applyFont="1" applyAlignment="1">
      <alignment horizontal="right" vertical="top" wrapText="1"/>
    </xf>
    <xf numFmtId="0" fontId="7" fillId="3" borderId="0" xfId="0" applyFont="1" applyFill="1" applyAlignment="1">
      <alignment horizontal="center" vertical="top" wrapText="1"/>
    </xf>
    <xf numFmtId="164" fontId="6" fillId="0" borderId="1" xfId="0" applyNumberFormat="1" applyFont="1" applyBorder="1" applyAlignment="1">
      <alignment vertical="top" wrapText="1"/>
    </xf>
    <xf numFmtId="164" fontId="6" fillId="0" borderId="1" xfId="0" applyNumberFormat="1" applyFont="1" applyBorder="1" applyAlignment="1">
      <alignment horizontal="right" vertical="top" wrapText="1"/>
    </xf>
    <xf numFmtId="0" fontId="7" fillId="2" borderId="2" xfId="0" applyFont="1" applyFill="1" applyBorder="1" applyAlignment="1">
      <alignment horizontal="center" vertical="top" wrapText="1"/>
    </xf>
    <xf numFmtId="0" fontId="7" fillId="3" borderId="2" xfId="0" applyFont="1" applyFill="1" applyBorder="1" applyAlignment="1">
      <alignment horizontal="center" vertical="top" wrapText="1"/>
    </xf>
    <xf numFmtId="0" fontId="7" fillId="4" borderId="2" xfId="0" applyFont="1" applyFill="1" applyBorder="1" applyAlignment="1">
      <alignment horizontal="center" vertical="top" wrapText="1"/>
    </xf>
    <xf numFmtId="0" fontId="6" fillId="0" borderId="0" xfId="0" applyFont="1" applyAlignment="1">
      <alignment vertical="top" wrapText="1"/>
    </xf>
    <xf numFmtId="3" fontId="6" fillId="0" borderId="0" xfId="0" applyNumberFormat="1" applyFont="1" applyAlignment="1">
      <alignment horizontal="right" vertical="top" wrapText="1"/>
    </xf>
    <xf numFmtId="3" fontId="6" fillId="0" borderId="2" xfId="0" applyNumberFormat="1" applyFont="1" applyBorder="1" applyAlignment="1">
      <alignment horizontal="right" vertical="top" wrapText="1"/>
    </xf>
    <xf numFmtId="0" fontId="5" fillId="0" borderId="0" xfId="0" applyFont="1" applyAlignment="1">
      <alignment vertical="top" wrapText="1"/>
    </xf>
    <xf numFmtId="9" fontId="0" fillId="0" borderId="0" xfId="0" applyNumberFormat="1"/>
    <xf numFmtId="0" fontId="5" fillId="0" borderId="0" xfId="0" applyFont="1" applyAlignment="1">
      <alignment horizontal="center" vertical="top" wrapText="1"/>
    </xf>
    <xf numFmtId="0" fontId="8" fillId="0" borderId="0" xfId="0" applyFont="1" applyAlignment="1">
      <alignment vertical="top" wrapText="1"/>
    </xf>
    <xf numFmtId="3" fontId="5" fillId="0" borderId="4" xfId="0" applyNumberFormat="1" applyFont="1" applyBorder="1" applyAlignment="1">
      <alignment horizontal="right" vertical="top" wrapText="1"/>
    </xf>
    <xf numFmtId="3" fontId="5" fillId="0" borderId="5" xfId="0" applyNumberFormat="1" applyFont="1" applyBorder="1" applyAlignment="1">
      <alignment horizontal="right" vertical="top" wrapText="1"/>
    </xf>
    <xf numFmtId="3" fontId="5" fillId="0" borderId="6" xfId="0" applyNumberFormat="1" applyFont="1" applyBorder="1" applyAlignment="1">
      <alignment horizontal="right" vertical="top" wrapText="1"/>
    </xf>
    <xf numFmtId="3" fontId="5" fillId="0" borderId="0" xfId="0" applyNumberFormat="1" applyFont="1" applyAlignment="1">
      <alignment horizontal="right" vertical="top" wrapText="1"/>
    </xf>
    <xf numFmtId="0" fontId="9" fillId="0" borderId="0" xfId="0" applyFont="1" applyAlignment="1">
      <alignment horizontal="right" vertical="top" wrapText="1"/>
    </xf>
    <xf numFmtId="0" fontId="11" fillId="6" borderId="14" xfId="0" applyFont="1" applyFill="1" applyBorder="1" applyAlignment="1">
      <alignment horizontal="center"/>
    </xf>
    <xf numFmtId="0" fontId="10" fillId="7" borderId="15" xfId="0" applyFont="1" applyFill="1" applyBorder="1" applyAlignment="1">
      <alignment horizontal="center"/>
    </xf>
    <xf numFmtId="0" fontId="9" fillId="0" borderId="0" xfId="0" applyFont="1" applyAlignment="1">
      <alignment vertical="top" wrapText="1"/>
    </xf>
    <xf numFmtId="3" fontId="9" fillId="0" borderId="0" xfId="0" applyNumberFormat="1" applyFont="1" applyAlignment="1">
      <alignment horizontal="right" vertical="top" wrapText="1"/>
    </xf>
    <xf numFmtId="0" fontId="13" fillId="0" borderId="0" xfId="0" applyFont="1" applyAlignment="1">
      <alignment horizontal="center" vertical="top" wrapText="1"/>
    </xf>
    <xf numFmtId="3" fontId="13" fillId="0" borderId="0" xfId="0" applyNumberFormat="1" applyFont="1" applyAlignment="1">
      <alignment horizontal="center" vertical="top" wrapText="1"/>
    </xf>
    <xf numFmtId="0" fontId="13" fillId="0" borderId="0" xfId="0" applyFont="1" applyAlignment="1">
      <alignment horizontal="right" vertical="top" wrapText="1"/>
    </xf>
    <xf numFmtId="0" fontId="7" fillId="2" borderId="28" xfId="0" applyFont="1" applyFill="1" applyBorder="1" applyAlignment="1">
      <alignment horizontal="center" vertical="top" wrapText="1"/>
    </xf>
    <xf numFmtId="0" fontId="7" fillId="3" borderId="29" xfId="0" applyFont="1" applyFill="1" applyBorder="1" applyAlignment="1">
      <alignment horizontal="center" vertical="top" wrapText="1"/>
    </xf>
    <xf numFmtId="0" fontId="7" fillId="4" borderId="30" xfId="0" applyFont="1" applyFill="1" applyBorder="1" applyAlignment="1">
      <alignment horizontal="center" vertical="top" wrapText="1"/>
    </xf>
    <xf numFmtId="0" fontId="11" fillId="6" borderId="24" xfId="0" applyFont="1" applyFill="1" applyBorder="1" applyAlignment="1">
      <alignment horizontal="center"/>
    </xf>
    <xf numFmtId="0" fontId="10" fillId="7" borderId="27" xfId="0" applyFont="1" applyFill="1" applyBorder="1" applyAlignment="1">
      <alignment horizontal="center"/>
    </xf>
    <xf numFmtId="0" fontId="10" fillId="7" borderId="26" xfId="0" applyFont="1" applyFill="1" applyBorder="1" applyAlignment="1">
      <alignment horizontal="center"/>
    </xf>
    <xf numFmtId="0" fontId="13" fillId="0" borderId="0" xfId="0" applyFont="1" applyAlignment="1">
      <alignment vertical="top" wrapText="1"/>
    </xf>
    <xf numFmtId="3" fontId="13" fillId="0" borderId="0" xfId="0" applyNumberFormat="1" applyFont="1" applyAlignment="1">
      <alignment horizontal="right" vertical="top" wrapText="1"/>
    </xf>
    <xf numFmtId="10" fontId="13" fillId="0" borderId="28" xfId="1" applyNumberFormat="1" applyFont="1" applyBorder="1" applyAlignment="1">
      <alignment horizontal="right" vertical="top" wrapText="1"/>
    </xf>
    <xf numFmtId="3" fontId="13" fillId="0" borderId="24" xfId="1" applyNumberFormat="1" applyFont="1" applyBorder="1" applyAlignment="1">
      <alignment horizontal="right" vertical="top" wrapText="1"/>
    </xf>
    <xf numFmtId="10" fontId="13" fillId="0" borderId="27" xfId="1" applyNumberFormat="1" applyFont="1" applyBorder="1" applyAlignment="1">
      <alignment horizontal="right" vertical="top" wrapText="1"/>
    </xf>
    <xf numFmtId="10" fontId="13" fillId="0" borderId="26" xfId="1" applyNumberFormat="1" applyFont="1" applyBorder="1" applyAlignment="1">
      <alignment horizontal="right" vertical="top" wrapText="1"/>
    </xf>
    <xf numFmtId="3" fontId="13" fillId="0" borderId="2" xfId="0" applyNumberFormat="1" applyFont="1" applyBorder="1" applyAlignment="1">
      <alignment horizontal="right" vertical="top" wrapText="1"/>
    </xf>
    <xf numFmtId="0" fontId="12" fillId="0" borderId="0" xfId="0" applyFont="1" applyAlignment="1">
      <alignment vertical="top" wrapText="1"/>
    </xf>
    <xf numFmtId="3" fontId="12" fillId="0" borderId="3" xfId="0" applyNumberFormat="1" applyFont="1" applyBorder="1" applyAlignment="1">
      <alignment horizontal="right" vertical="top" wrapText="1"/>
    </xf>
    <xf numFmtId="3" fontId="13" fillId="0" borderId="31" xfId="1" applyNumberFormat="1" applyFont="1" applyBorder="1" applyAlignment="1">
      <alignment horizontal="right" vertical="top" wrapText="1"/>
    </xf>
    <xf numFmtId="10" fontId="13" fillId="0" borderId="33" xfId="1" applyNumberFormat="1" applyFont="1" applyBorder="1" applyAlignment="1">
      <alignment horizontal="right" vertical="top" wrapText="1"/>
    </xf>
    <xf numFmtId="0" fontId="12" fillId="0" borderId="0" xfId="0" applyFont="1" applyAlignment="1">
      <alignment horizontal="center" vertical="top" wrapText="1"/>
    </xf>
    <xf numFmtId="0" fontId="14" fillId="0" borderId="0" xfId="0" applyFont="1" applyAlignment="1">
      <alignment horizontal="center"/>
    </xf>
    <xf numFmtId="0" fontId="15" fillId="0" borderId="0" xfId="0" applyFont="1" applyAlignment="1">
      <alignment vertical="top" wrapText="1"/>
    </xf>
    <xf numFmtId="10" fontId="16" fillId="0" borderId="40" xfId="1" applyNumberFormat="1" applyFont="1" applyBorder="1"/>
    <xf numFmtId="10" fontId="16" fillId="0" borderId="0" xfId="1" applyNumberFormat="1" applyFont="1"/>
    <xf numFmtId="3" fontId="16" fillId="0" borderId="16" xfId="1" applyNumberFormat="1" applyFont="1" applyBorder="1"/>
    <xf numFmtId="10" fontId="16" fillId="0" borderId="11" xfId="1" applyNumberFormat="1" applyFont="1" applyBorder="1"/>
    <xf numFmtId="38" fontId="13" fillId="0" borderId="0" xfId="0" applyNumberFormat="1" applyFont="1" applyAlignment="1">
      <alignment horizontal="right" vertical="top" wrapText="1"/>
    </xf>
    <xf numFmtId="10" fontId="13" fillId="0" borderId="40" xfId="1" applyNumberFormat="1" applyFont="1" applyBorder="1" applyAlignment="1">
      <alignment horizontal="right" vertical="top" wrapText="1"/>
    </xf>
    <xf numFmtId="10" fontId="13" fillId="0" borderId="0" xfId="1" applyNumberFormat="1" applyFont="1" applyAlignment="1">
      <alignment horizontal="right" vertical="top" wrapText="1"/>
    </xf>
    <xf numFmtId="38" fontId="13" fillId="0" borderId="16" xfId="1" applyNumberFormat="1" applyFont="1" applyBorder="1" applyAlignment="1">
      <alignment horizontal="right" vertical="top" wrapText="1"/>
    </xf>
    <xf numFmtId="10" fontId="13" fillId="0" borderId="11" xfId="1" applyNumberFormat="1" applyFont="1" applyBorder="1" applyAlignment="1">
      <alignment horizontal="right" vertical="top" wrapText="1"/>
    </xf>
    <xf numFmtId="38" fontId="13" fillId="0" borderId="2" xfId="0" applyNumberFormat="1" applyFont="1" applyBorder="1" applyAlignment="1">
      <alignment horizontal="right" vertical="top" wrapText="1"/>
    </xf>
    <xf numFmtId="10" fontId="13" fillId="0" borderId="0" xfId="1" applyNumberFormat="1" applyFont="1" applyBorder="1" applyAlignment="1">
      <alignment horizontal="right" vertical="top" wrapText="1"/>
    </xf>
    <xf numFmtId="38" fontId="12" fillId="0" borderId="0" xfId="0" applyNumberFormat="1" applyFont="1" applyAlignment="1">
      <alignment horizontal="right" vertical="top" wrapText="1"/>
    </xf>
    <xf numFmtId="38" fontId="12" fillId="0" borderId="41" xfId="0" applyNumberFormat="1" applyFont="1" applyBorder="1" applyAlignment="1">
      <alignment horizontal="right" vertical="top" wrapText="1"/>
    </xf>
    <xf numFmtId="10" fontId="12" fillId="0" borderId="0" xfId="1" applyNumberFormat="1" applyFont="1" applyBorder="1" applyAlignment="1">
      <alignment horizontal="right" vertical="top" wrapText="1"/>
    </xf>
    <xf numFmtId="10" fontId="12" fillId="0" borderId="0" xfId="1" applyNumberFormat="1" applyFont="1" applyAlignment="1">
      <alignment horizontal="right" vertical="top" wrapText="1"/>
    </xf>
    <xf numFmtId="38" fontId="13" fillId="0" borderId="42" xfId="0" applyNumberFormat="1" applyFont="1" applyBorder="1" applyAlignment="1">
      <alignment horizontal="right" vertical="top" wrapText="1"/>
    </xf>
    <xf numFmtId="38" fontId="12" fillId="0" borderId="2" xfId="0" applyNumberFormat="1" applyFont="1" applyBorder="1" applyAlignment="1">
      <alignment horizontal="right" vertical="top" wrapText="1"/>
    </xf>
    <xf numFmtId="38" fontId="12" fillId="0" borderId="43" xfId="0" applyNumberFormat="1" applyFont="1" applyBorder="1" applyAlignment="1">
      <alignment horizontal="right" vertical="top" wrapText="1"/>
    </xf>
    <xf numFmtId="38" fontId="13" fillId="0" borderId="17" xfId="1" applyNumberFormat="1" applyFont="1" applyBorder="1" applyAlignment="1">
      <alignment horizontal="right" vertical="top" wrapText="1"/>
    </xf>
    <xf numFmtId="10" fontId="13" fillId="0" borderId="18" xfId="1" applyNumberFormat="1" applyFont="1" applyBorder="1" applyAlignment="1">
      <alignment horizontal="right" vertical="top" wrapText="1"/>
    </xf>
    <xf numFmtId="0" fontId="17" fillId="0" borderId="44" xfId="0" applyFont="1" applyBorder="1"/>
    <xf numFmtId="0" fontId="2" fillId="0" borderId="45" xfId="0" applyFont="1" applyBorder="1" applyAlignment="1">
      <alignment horizontal="center"/>
    </xf>
    <xf numFmtId="0" fontId="2" fillId="0" borderId="46" xfId="0" applyFont="1" applyBorder="1" applyAlignment="1">
      <alignment horizontal="center"/>
    </xf>
    <xf numFmtId="0" fontId="18" fillId="0" borderId="47" xfId="0" applyFont="1" applyBorder="1"/>
    <xf numFmtId="0" fontId="2" fillId="0" borderId="0" xfId="0" applyFont="1" applyAlignment="1">
      <alignment horizontal="center"/>
    </xf>
    <xf numFmtId="0" fontId="2" fillId="0" borderId="48" xfId="0" applyFont="1" applyBorder="1" applyAlignment="1">
      <alignment horizontal="center"/>
    </xf>
    <xf numFmtId="0" fontId="2" fillId="0" borderId="42" xfId="0" applyFont="1" applyBorder="1" applyAlignment="1">
      <alignment horizontal="center"/>
    </xf>
    <xf numFmtId="0" fontId="2" fillId="0" borderId="49" xfId="0" applyFont="1" applyBorder="1" applyAlignment="1">
      <alignment horizontal="center"/>
    </xf>
    <xf numFmtId="0" fontId="9" fillId="0" borderId="47" xfId="0" applyFont="1" applyBorder="1" applyAlignment="1">
      <alignment vertical="top" wrapText="1"/>
    </xf>
    <xf numFmtId="3" fontId="19" fillId="0" borderId="0" xfId="0" applyNumberFormat="1" applyFont="1" applyAlignment="1">
      <alignment horizontal="right" vertical="top" wrapText="1"/>
    </xf>
    <xf numFmtId="3" fontId="19" fillId="0" borderId="48" xfId="0" applyNumberFormat="1" applyFont="1" applyBorder="1" applyAlignment="1">
      <alignment horizontal="right" vertical="top" wrapText="1"/>
    </xf>
    <xf numFmtId="0" fontId="0" fillId="0" borderId="47" xfId="0" applyBorder="1"/>
    <xf numFmtId="3" fontId="0" fillId="0" borderId="0" xfId="0" applyNumberFormat="1"/>
    <xf numFmtId="3" fontId="0" fillId="0" borderId="48" xfId="0" applyNumberFormat="1" applyBorder="1"/>
    <xf numFmtId="0" fontId="20" fillId="0" borderId="47" xfId="0" applyFont="1" applyBorder="1"/>
    <xf numFmtId="0" fontId="0" fillId="0" borderId="48" xfId="0" applyBorder="1"/>
    <xf numFmtId="0" fontId="21" fillId="0" borderId="47" xfId="0" applyFont="1" applyBorder="1" applyAlignment="1">
      <alignment vertical="center"/>
    </xf>
    <xf numFmtId="9" fontId="0" fillId="0" borderId="48" xfId="0" applyNumberFormat="1" applyBorder="1"/>
    <xf numFmtId="10" fontId="16" fillId="0" borderId="0" xfId="1" applyNumberFormat="1" applyFont="1" applyBorder="1"/>
    <xf numFmtId="10" fontId="16" fillId="0" borderId="48" xfId="1" applyNumberFormat="1" applyFont="1" applyBorder="1"/>
    <xf numFmtId="0" fontId="0" fillId="0" borderId="42" xfId="0" applyBorder="1"/>
    <xf numFmtId="0" fontId="0" fillId="0" borderId="49" xfId="0" applyBorder="1"/>
    <xf numFmtId="0" fontId="2" fillId="0" borderId="47" xfId="0" applyFont="1" applyBorder="1"/>
    <xf numFmtId="0" fontId="2" fillId="0" borderId="0" xfId="0" applyFont="1"/>
    <xf numFmtId="0" fontId="2" fillId="0" borderId="48" xfId="0" applyFont="1" applyBorder="1"/>
    <xf numFmtId="0" fontId="0" fillId="0" borderId="50" xfId="0" applyBorder="1"/>
    <xf numFmtId="0" fontId="0" fillId="0" borderId="51" xfId="0" applyBorder="1"/>
    <xf numFmtId="0" fontId="0" fillId="0" borderId="52" xfId="0" applyBorder="1"/>
    <xf numFmtId="38" fontId="0" fillId="0" borderId="0" xfId="0" applyNumberFormat="1"/>
    <xf numFmtId="0" fontId="10" fillId="7" borderId="53" xfId="0" applyFont="1" applyFill="1" applyBorder="1"/>
    <xf numFmtId="0" fontId="10" fillId="7" borderId="54" xfId="0" applyFont="1" applyFill="1" applyBorder="1"/>
    <xf numFmtId="0" fontId="10" fillId="7" borderId="55" xfId="0" applyFont="1" applyFill="1" applyBorder="1"/>
    <xf numFmtId="0" fontId="16" fillId="8" borderId="56" xfId="0" applyFont="1" applyFill="1" applyBorder="1"/>
    <xf numFmtId="0" fontId="22" fillId="2" borderId="2" xfId="0" applyFont="1" applyFill="1" applyBorder="1" applyAlignment="1">
      <alignment horizontal="center" vertical="top" wrapText="1"/>
    </xf>
    <xf numFmtId="0" fontId="22" fillId="3" borderId="2" xfId="0" applyFont="1" applyFill="1" applyBorder="1" applyAlignment="1">
      <alignment horizontal="center" vertical="top" wrapText="1"/>
    </xf>
    <xf numFmtId="0" fontId="22" fillId="4" borderId="57" xfId="0" applyFont="1" applyFill="1" applyBorder="1" applyAlignment="1">
      <alignment horizontal="center" vertical="top" wrapText="1"/>
    </xf>
    <xf numFmtId="0" fontId="16" fillId="9" borderId="58" xfId="0" applyFont="1" applyFill="1" applyBorder="1"/>
    <xf numFmtId="3" fontId="0" fillId="9" borderId="0" xfId="0" applyNumberFormat="1" applyFill="1"/>
    <xf numFmtId="3" fontId="0" fillId="9" borderId="59" xfId="0" applyNumberFormat="1" applyFill="1" applyBorder="1"/>
    <xf numFmtId="0" fontId="16" fillId="0" borderId="58" xfId="0" applyFont="1" applyBorder="1"/>
    <xf numFmtId="3" fontId="0" fillId="0" borderId="59" xfId="0" applyNumberFormat="1" applyBorder="1"/>
    <xf numFmtId="0" fontId="16" fillId="0" borderId="60" xfId="0" applyFont="1" applyBorder="1"/>
    <xf numFmtId="3" fontId="0" fillId="0" borderId="42" xfId="0" applyNumberFormat="1" applyBorder="1"/>
    <xf numFmtId="3" fontId="0" fillId="0" borderId="61" xfId="0" applyNumberFormat="1" applyBorder="1"/>
    <xf numFmtId="0" fontId="10" fillId="10" borderId="53" xfId="0" applyFont="1" applyFill="1" applyBorder="1"/>
    <xf numFmtId="3" fontId="10" fillId="10" borderId="54" xfId="0" applyNumberFormat="1" applyFont="1" applyFill="1" applyBorder="1"/>
    <xf numFmtId="3" fontId="10" fillId="10" borderId="55" xfId="0" applyNumberFormat="1" applyFont="1" applyFill="1" applyBorder="1"/>
    <xf numFmtId="0" fontId="16" fillId="8" borderId="58" xfId="0" applyFont="1" applyFill="1" applyBorder="1"/>
    <xf numFmtId="0" fontId="0" fillId="9" borderId="0" xfId="0" applyFill="1"/>
    <xf numFmtId="10" fontId="0" fillId="9" borderId="0" xfId="0" applyNumberFormat="1" applyFill="1"/>
    <xf numFmtId="10" fontId="0" fillId="9" borderId="59" xfId="0" applyNumberFormat="1" applyFill="1" applyBorder="1"/>
    <xf numFmtId="10" fontId="0" fillId="0" borderId="0" xfId="0" applyNumberFormat="1"/>
    <xf numFmtId="10" fontId="0" fillId="0" borderId="59" xfId="0" applyNumberFormat="1" applyBorder="1"/>
    <xf numFmtId="10" fontId="0" fillId="0" borderId="42" xfId="0" applyNumberFormat="1" applyBorder="1"/>
    <xf numFmtId="10" fontId="0" fillId="0" borderId="61" xfId="0" applyNumberFormat="1" applyBorder="1"/>
    <xf numFmtId="0" fontId="10" fillId="11" borderId="53" xfId="0" applyFont="1" applyFill="1" applyBorder="1"/>
    <xf numFmtId="0" fontId="10" fillId="11" borderId="54" xfId="0" applyFont="1" applyFill="1" applyBorder="1"/>
    <xf numFmtId="0" fontId="10" fillId="11" borderId="55" xfId="0" applyFont="1" applyFill="1" applyBorder="1"/>
    <xf numFmtId="0" fontId="22" fillId="2" borderId="0" xfId="0" applyFont="1" applyFill="1" applyAlignment="1">
      <alignment horizontal="center" vertical="top" wrapText="1"/>
    </xf>
    <xf numFmtId="0" fontId="22" fillId="3" borderId="0" xfId="0" applyFont="1" applyFill="1" applyAlignment="1">
      <alignment horizontal="center" vertical="top" wrapText="1"/>
    </xf>
    <xf numFmtId="0" fontId="22" fillId="4" borderId="59" xfId="0" applyFont="1" applyFill="1" applyBorder="1" applyAlignment="1">
      <alignment horizontal="center" vertical="top" wrapText="1"/>
    </xf>
    <xf numFmtId="10" fontId="16" fillId="9" borderId="0" xfId="1" applyNumberFormat="1" applyFont="1" applyFill="1" applyBorder="1"/>
    <xf numFmtId="10" fontId="1" fillId="0" borderId="0" xfId="1" applyNumberFormat="1" applyFont="1" applyBorder="1"/>
    <xf numFmtId="10" fontId="1" fillId="0" borderId="59" xfId="1" applyNumberFormat="1" applyFont="1" applyBorder="1"/>
    <xf numFmtId="10" fontId="1" fillId="9" borderId="0" xfId="1" applyNumberFormat="1" applyFont="1" applyFill="1" applyBorder="1"/>
    <xf numFmtId="10" fontId="1" fillId="9" borderId="59" xfId="1" applyNumberFormat="1" applyFont="1" applyFill="1" applyBorder="1"/>
    <xf numFmtId="10" fontId="1" fillId="0" borderId="42" xfId="1" applyNumberFormat="1" applyFont="1" applyBorder="1"/>
    <xf numFmtId="10" fontId="1" fillId="0" borderId="61" xfId="1" applyNumberFormat="1" applyFont="1" applyBorder="1"/>
    <xf numFmtId="0" fontId="16" fillId="0" borderId="0" xfId="0" applyFont="1"/>
    <xf numFmtId="0" fontId="10" fillId="7" borderId="32" xfId="0" applyFont="1" applyFill="1" applyBorder="1"/>
    <xf numFmtId="0" fontId="10" fillId="7" borderId="62" xfId="0" applyFont="1" applyFill="1" applyBorder="1"/>
    <xf numFmtId="0" fontId="10" fillId="7" borderId="63" xfId="0" applyFont="1" applyFill="1" applyBorder="1"/>
    <xf numFmtId="0" fontId="10" fillId="12" borderId="32" xfId="0" applyFont="1" applyFill="1" applyBorder="1"/>
    <xf numFmtId="0" fontId="10" fillId="12" borderId="62" xfId="0" applyFont="1" applyFill="1" applyBorder="1"/>
    <xf numFmtId="0" fontId="10" fillId="12" borderId="63" xfId="0" applyFont="1" applyFill="1" applyBorder="1"/>
    <xf numFmtId="10" fontId="16" fillId="9" borderId="59" xfId="1" applyNumberFormat="1" applyFont="1" applyFill="1" applyBorder="1"/>
    <xf numFmtId="0" fontId="16" fillId="9" borderId="60" xfId="0" applyFont="1" applyFill="1" applyBorder="1"/>
    <xf numFmtId="0" fontId="0" fillId="9" borderId="42" xfId="0" applyFill="1" applyBorder="1"/>
    <xf numFmtId="10" fontId="0" fillId="9" borderId="42" xfId="0" applyNumberFormat="1" applyFill="1" applyBorder="1"/>
    <xf numFmtId="10" fontId="0" fillId="9" borderId="61" xfId="0" applyNumberFormat="1" applyFill="1" applyBorder="1"/>
    <xf numFmtId="0" fontId="16" fillId="9" borderId="53" xfId="0" applyFont="1" applyFill="1" applyBorder="1"/>
    <xf numFmtId="0" fontId="0" fillId="9" borderId="54" xfId="0" applyFill="1" applyBorder="1"/>
    <xf numFmtId="10" fontId="0" fillId="9" borderId="54" xfId="0" applyNumberFormat="1" applyFill="1" applyBorder="1"/>
    <xf numFmtId="10" fontId="0" fillId="9" borderId="55" xfId="0" applyNumberFormat="1" applyFill="1" applyBorder="1"/>
    <xf numFmtId="0" fontId="10" fillId="13" borderId="32" xfId="0" applyFont="1" applyFill="1" applyBorder="1"/>
    <xf numFmtId="0" fontId="10" fillId="13" borderId="62" xfId="0" applyFont="1" applyFill="1" applyBorder="1"/>
    <xf numFmtId="0" fontId="10" fillId="13" borderId="63" xfId="0" applyFont="1" applyFill="1" applyBorder="1"/>
    <xf numFmtId="0" fontId="0" fillId="0" borderId="53" xfId="0" applyBorder="1"/>
    <xf numFmtId="0" fontId="22" fillId="3" borderId="54" xfId="0" applyFont="1" applyFill="1" applyBorder="1" applyAlignment="1">
      <alignment horizontal="center" vertical="top" wrapText="1"/>
    </xf>
    <xf numFmtId="0" fontId="22" fillId="4" borderId="55" xfId="0" applyFont="1" applyFill="1" applyBorder="1" applyAlignment="1">
      <alignment horizontal="center" vertical="top" wrapText="1"/>
    </xf>
    <xf numFmtId="0" fontId="10" fillId="0" borderId="0" xfId="0" applyFont="1"/>
    <xf numFmtId="0" fontId="22" fillId="0" borderId="0" xfId="0" applyFont="1" applyAlignment="1">
      <alignment horizontal="center" vertical="top" wrapText="1"/>
    </xf>
    <xf numFmtId="0" fontId="7" fillId="2" borderId="10" xfId="0" applyFont="1" applyFill="1" applyBorder="1" applyAlignment="1">
      <alignment horizontal="center" vertical="top" wrapText="1"/>
    </xf>
    <xf numFmtId="0" fontId="7" fillId="4" borderId="11" xfId="0" applyFont="1" applyFill="1" applyBorder="1" applyAlignment="1">
      <alignment horizontal="center" vertical="top" wrapText="1"/>
    </xf>
    <xf numFmtId="10" fontId="16" fillId="0" borderId="24" xfId="1" applyNumberFormat="1" applyFont="1" applyBorder="1"/>
    <xf numFmtId="10" fontId="16" fillId="0" borderId="26" xfId="1" applyNumberFormat="1" applyFont="1" applyBorder="1"/>
    <xf numFmtId="10" fontId="13" fillId="0" borderId="24" xfId="1" applyNumberFormat="1" applyFont="1" applyBorder="1" applyAlignment="1">
      <alignment horizontal="right" vertical="top" wrapText="1"/>
    </xf>
    <xf numFmtId="3" fontId="5" fillId="0" borderId="0" xfId="0" applyNumberFormat="1" applyFont="1" applyAlignment="1">
      <alignment vertical="top" wrapText="1"/>
    </xf>
    <xf numFmtId="3" fontId="6" fillId="0" borderId="0" xfId="0" applyNumberFormat="1" applyFont="1" applyAlignment="1">
      <alignment vertical="top" wrapText="1"/>
    </xf>
    <xf numFmtId="0" fontId="6" fillId="0" borderId="0" xfId="0" applyFont="1" applyAlignment="1">
      <alignment horizontal="center" vertical="top" wrapText="1"/>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vertical="top" wrapText="1"/>
    </xf>
    <xf numFmtId="0" fontId="10" fillId="5" borderId="19" xfId="0" applyFont="1" applyFill="1" applyBorder="1" applyAlignment="1">
      <alignment horizontal="center"/>
    </xf>
    <xf numFmtId="0" fontId="10" fillId="5" borderId="20" xfId="0" applyFont="1" applyFill="1" applyBorder="1" applyAlignment="1">
      <alignment horizontal="center"/>
    </xf>
    <xf numFmtId="0" fontId="10" fillId="5" borderId="22" xfId="0" applyFont="1" applyFill="1" applyBorder="1" applyAlignment="1">
      <alignment horizontal="center"/>
    </xf>
    <xf numFmtId="0" fontId="10" fillId="5" borderId="23" xfId="0" applyFont="1" applyFill="1" applyBorder="1" applyAlignment="1">
      <alignment horizontal="center"/>
    </xf>
    <xf numFmtId="0" fontId="10" fillId="3" borderId="24" xfId="0" applyFont="1" applyFill="1" applyBorder="1" applyAlignment="1">
      <alignment horizontal="center"/>
    </xf>
    <xf numFmtId="0" fontId="10" fillId="3" borderId="27" xfId="0" applyFont="1" applyFill="1" applyBorder="1" applyAlignment="1">
      <alignment horizontal="center"/>
    </xf>
    <xf numFmtId="0" fontId="10" fillId="4" borderId="19" xfId="0" applyFont="1" applyFill="1" applyBorder="1" applyAlignment="1">
      <alignment horizontal="center"/>
    </xf>
    <xf numFmtId="0" fontId="10" fillId="4" borderId="21" xfId="0" applyFont="1" applyFill="1" applyBorder="1" applyAlignment="1">
      <alignment horizontal="center"/>
    </xf>
    <xf numFmtId="0" fontId="12" fillId="0" borderId="0" xfId="0" applyFont="1" applyAlignment="1">
      <alignment horizontal="center" vertical="top" wrapText="1"/>
    </xf>
    <xf numFmtId="0" fontId="13" fillId="0" borderId="0" xfId="0" applyFont="1" applyAlignment="1">
      <alignment horizontal="center" vertical="top" wrapText="1"/>
    </xf>
    <xf numFmtId="0" fontId="10" fillId="5" borderId="19" xfId="0" applyFont="1" applyFill="1" applyBorder="1" applyAlignment="1">
      <alignment horizontal="center" vertical="center"/>
    </xf>
    <xf numFmtId="0" fontId="10" fillId="5" borderId="20" xfId="0" applyFont="1" applyFill="1" applyBorder="1" applyAlignment="1">
      <alignment horizontal="center" vertical="center"/>
    </xf>
    <xf numFmtId="0" fontId="10" fillId="5" borderId="21" xfId="0" applyFont="1" applyFill="1" applyBorder="1" applyAlignment="1">
      <alignment horizontal="center" vertical="center"/>
    </xf>
    <xf numFmtId="0" fontId="10" fillId="5" borderId="24" xfId="0" applyFont="1" applyFill="1" applyBorder="1" applyAlignment="1">
      <alignment horizontal="center" vertical="center"/>
    </xf>
    <xf numFmtId="0" fontId="10" fillId="5" borderId="25" xfId="0" applyFont="1" applyFill="1" applyBorder="1" applyAlignment="1">
      <alignment horizontal="center" vertical="center"/>
    </xf>
    <xf numFmtId="0" fontId="10" fillId="5" borderId="26" xfId="0" applyFont="1" applyFill="1" applyBorder="1" applyAlignment="1">
      <alignment horizontal="center" vertical="center"/>
    </xf>
    <xf numFmtId="0" fontId="10" fillId="5" borderId="7" xfId="0" applyFont="1" applyFill="1" applyBorder="1" applyAlignment="1">
      <alignment horizontal="center" vertical="center"/>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xf numFmtId="0" fontId="10" fillId="5" borderId="36" xfId="0" applyFont="1" applyFill="1" applyBorder="1" applyAlignment="1">
      <alignment horizontal="center" vertical="center"/>
    </xf>
    <xf numFmtId="0" fontId="10" fillId="5" borderId="37" xfId="0" applyFont="1" applyFill="1" applyBorder="1" applyAlignment="1">
      <alignment horizontal="center" vertical="center"/>
    </xf>
    <xf numFmtId="0" fontId="10" fillId="5" borderId="18" xfId="0" applyFont="1" applyFill="1" applyBorder="1" applyAlignment="1">
      <alignment horizontal="center" vertical="center"/>
    </xf>
    <xf numFmtId="0" fontId="10" fillId="5" borderId="34" xfId="0" applyFont="1" applyFill="1" applyBorder="1" applyAlignment="1">
      <alignment horizontal="center"/>
    </xf>
    <xf numFmtId="0" fontId="10" fillId="5" borderId="35" xfId="0" applyFont="1" applyFill="1" applyBorder="1" applyAlignment="1">
      <alignment horizontal="center"/>
    </xf>
    <xf numFmtId="0" fontId="10" fillId="5" borderId="15" xfId="0" applyFont="1" applyFill="1" applyBorder="1" applyAlignment="1">
      <alignment horizontal="center"/>
    </xf>
    <xf numFmtId="0" fontId="10" fillId="3" borderId="38" xfId="0" applyFont="1" applyFill="1" applyBorder="1" applyAlignment="1">
      <alignment horizontal="center"/>
    </xf>
    <xf numFmtId="0" fontId="10" fillId="3" borderId="12" xfId="0" applyFont="1" applyFill="1" applyBorder="1" applyAlignment="1">
      <alignment horizontal="center"/>
    </xf>
    <xf numFmtId="0" fontId="10" fillId="4" borderId="13" xfId="0" applyFont="1" applyFill="1" applyBorder="1" applyAlignment="1">
      <alignment horizontal="center"/>
    </xf>
    <xf numFmtId="0" fontId="10" fillId="4" borderId="39" xfId="0" applyFont="1" applyFill="1" applyBorder="1" applyAlignment="1">
      <alignment horizontal="center"/>
    </xf>
    <xf numFmtId="3" fontId="5" fillId="0" borderId="2" xfId="0" applyNumberFormat="1" applyFont="1" applyBorder="1" applyAlignment="1">
      <alignment horizontal="right" vertical="top" wrapText="1"/>
    </xf>
    <xf numFmtId="3" fontId="6" fillId="0" borderId="37" xfId="0" applyNumberFormat="1" applyFont="1" applyBorder="1" applyAlignment="1">
      <alignment horizontal="right" vertical="top" wrapText="1"/>
    </xf>
    <xf numFmtId="9" fontId="13" fillId="0" borderId="28" xfId="1" applyNumberFormat="1" applyFont="1" applyBorder="1" applyAlignment="1">
      <alignment horizontal="right" vertical="top" wrapText="1"/>
    </xf>
    <xf numFmtId="9" fontId="13" fillId="0" borderId="24" xfId="1" applyNumberFormat="1" applyFont="1" applyBorder="1" applyAlignment="1">
      <alignment horizontal="right" vertical="top" wrapText="1"/>
    </xf>
    <xf numFmtId="9" fontId="13" fillId="0" borderId="40" xfId="1" applyNumberFormat="1" applyFont="1" applyBorder="1" applyAlignment="1">
      <alignment horizontal="right" vertical="top" wrapText="1"/>
    </xf>
    <xf numFmtId="9" fontId="13" fillId="0" borderId="26" xfId="1" applyNumberFormat="1" applyFont="1" applyBorder="1" applyAlignment="1">
      <alignment horizontal="right" vertical="top"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752475</xdr:colOff>
      <xdr:row>4</xdr:row>
      <xdr:rowOff>0</xdr:rowOff>
    </xdr:from>
    <xdr:to>
      <xdr:col>7</xdr:col>
      <xdr:colOff>1</xdr:colOff>
      <xdr:row>11</xdr:row>
      <xdr:rowOff>0</xdr:rowOff>
    </xdr:to>
    <xdr:sp macro="" textlink="">
      <xdr:nvSpPr>
        <xdr:cNvPr id="2" name="1 CuadroTexto">
          <a:extLst>
            <a:ext uri="{FF2B5EF4-FFF2-40B4-BE49-F238E27FC236}">
              <a16:creationId xmlns:a16="http://schemas.microsoft.com/office/drawing/2014/main" id="{00000000-0008-0000-0000-000002000000}"/>
            </a:ext>
          </a:extLst>
        </xdr:cNvPr>
        <xdr:cNvSpPr txBox="1"/>
      </xdr:nvSpPr>
      <xdr:spPr>
        <a:xfrm>
          <a:off x="752475" y="914400"/>
          <a:ext cx="6524626" cy="1362075"/>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s-ES" sz="1400" b="1">
              <a:solidFill>
                <a:schemeClr val="bg1"/>
              </a:solidFill>
              <a:latin typeface="Arial" pitchFamily="34" charset="0"/>
              <a:cs typeface="Arial" pitchFamily="34" charset="0"/>
            </a:rPr>
            <a:t>1. Tomando</a:t>
          </a:r>
          <a:r>
            <a:rPr lang="es-ES" sz="1400" b="1" baseline="0">
              <a:solidFill>
                <a:schemeClr val="bg1"/>
              </a:solidFill>
              <a:latin typeface="Arial" pitchFamily="34" charset="0"/>
              <a:cs typeface="Arial" pitchFamily="34" charset="0"/>
            </a:rPr>
            <a:t> la informacion de las cuentas enunciadas y sus valores elabore los estados financieros Resultados y Situacion Financiera, luego halle los datos para el analisis vertical, horizontal y de los indicadores </a:t>
          </a:r>
        </a:p>
        <a:p>
          <a:endParaRPr lang="es-ES" sz="1400" b="1" baseline="0">
            <a:solidFill>
              <a:schemeClr val="bg1"/>
            </a:solidFill>
            <a:latin typeface="Arial" pitchFamily="34" charset="0"/>
            <a:cs typeface="Arial" pitchFamily="34" charset="0"/>
          </a:endParaRPr>
        </a:p>
        <a:p>
          <a:r>
            <a:rPr lang="es-ES" sz="1400" b="1" baseline="0">
              <a:solidFill>
                <a:schemeClr val="bg1"/>
              </a:solidFill>
              <a:latin typeface="Arial" pitchFamily="34" charset="0"/>
              <a:cs typeface="Arial" pitchFamily="34" charset="0"/>
            </a:rPr>
            <a:t>2. Utilice los formatos diseñados para tal fin en cada una de las siguientes hojas</a:t>
          </a:r>
        </a:p>
        <a:p>
          <a:r>
            <a:rPr lang="es-ES" sz="1400" b="1">
              <a:solidFill>
                <a:schemeClr val="bg1"/>
              </a:solidFill>
              <a:latin typeface="Arial" pitchFamily="34" charset="0"/>
              <a:cs typeface="Arial" pitchFamily="34" charset="0"/>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20</xdr:row>
      <xdr:rowOff>28575</xdr:rowOff>
    </xdr:from>
    <xdr:to>
      <xdr:col>9</xdr:col>
      <xdr:colOff>158756</xdr:colOff>
      <xdr:row>22</xdr:row>
      <xdr:rowOff>66675</xdr:rowOff>
    </xdr:to>
    <xdr:sp macro="" textlink="">
      <xdr:nvSpPr>
        <xdr:cNvPr id="3" name="1 CuadroTexto">
          <a:extLst>
            <a:ext uri="{FF2B5EF4-FFF2-40B4-BE49-F238E27FC236}">
              <a16:creationId xmlns:a16="http://schemas.microsoft.com/office/drawing/2014/main" id="{00000000-0008-0000-0300-000003000000}"/>
            </a:ext>
          </a:extLst>
        </xdr:cNvPr>
        <xdr:cNvSpPr txBox="1"/>
      </xdr:nvSpPr>
      <xdr:spPr>
        <a:xfrm>
          <a:off x="6105525" y="4257675"/>
          <a:ext cx="2444756" cy="419100"/>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ES" sz="1100" b="1">
              <a:solidFill>
                <a:schemeClr val="bg1"/>
              </a:solidFill>
            </a:rPr>
            <a:t>Tome las ventas </a:t>
          </a:r>
          <a:r>
            <a:rPr lang="es-ES" sz="1400" b="1">
              <a:solidFill>
                <a:schemeClr val="bg1"/>
              </a:solidFill>
            </a:rPr>
            <a:t>Netas</a:t>
          </a:r>
          <a:r>
            <a:rPr lang="es-ES" sz="1100" b="1">
              <a:solidFill>
                <a:schemeClr val="bg1"/>
              </a:solidFill>
            </a:rPr>
            <a:t> como el 100%</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247650</xdr:colOff>
      <xdr:row>0</xdr:row>
      <xdr:rowOff>196849</xdr:rowOff>
    </xdr:from>
    <xdr:to>
      <xdr:col>9</xdr:col>
      <xdr:colOff>47595</xdr:colOff>
      <xdr:row>3</xdr:row>
      <xdr:rowOff>142819</xdr:rowOff>
    </xdr:to>
    <xdr:sp macro="" textlink="">
      <xdr:nvSpPr>
        <xdr:cNvPr id="2" name="1 CuadroTexto">
          <a:extLst>
            <a:ext uri="{FF2B5EF4-FFF2-40B4-BE49-F238E27FC236}">
              <a16:creationId xmlns:a16="http://schemas.microsoft.com/office/drawing/2014/main" id="{00000000-0008-0000-0400-000002000000}"/>
            </a:ext>
          </a:extLst>
        </xdr:cNvPr>
        <xdr:cNvSpPr txBox="1"/>
      </xdr:nvSpPr>
      <xdr:spPr>
        <a:xfrm>
          <a:off x="6305550" y="196849"/>
          <a:ext cx="2428845" cy="54604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ES" sz="1400" b="1">
              <a:solidFill>
                <a:schemeClr val="bg1"/>
              </a:solidFill>
            </a:rPr>
            <a:t>Tome  el total</a:t>
          </a:r>
          <a:r>
            <a:rPr lang="es-ES" sz="1400" b="1" baseline="0">
              <a:solidFill>
                <a:schemeClr val="bg1"/>
              </a:solidFill>
            </a:rPr>
            <a:t> de activos</a:t>
          </a:r>
          <a:r>
            <a:rPr lang="es-ES" sz="1400" b="1">
              <a:solidFill>
                <a:schemeClr val="bg1"/>
              </a:solidFill>
            </a:rPr>
            <a:t> como el 100%</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330598</xdr:colOff>
      <xdr:row>2</xdr:row>
      <xdr:rowOff>165495</xdr:rowOff>
    </xdr:from>
    <xdr:to>
      <xdr:col>8</xdr:col>
      <xdr:colOff>104733</xdr:colOff>
      <xdr:row>8</xdr:row>
      <xdr:rowOff>44062</xdr:rowOff>
    </xdr:to>
    <xdr:sp macro="" textlink="">
      <xdr:nvSpPr>
        <xdr:cNvPr id="2" name="1 CuadroTexto">
          <a:extLst>
            <a:ext uri="{FF2B5EF4-FFF2-40B4-BE49-F238E27FC236}">
              <a16:creationId xmlns:a16="http://schemas.microsoft.com/office/drawing/2014/main" id="{00000000-0008-0000-0500-000002000000}"/>
            </a:ext>
          </a:extLst>
        </xdr:cNvPr>
        <xdr:cNvSpPr txBox="1"/>
      </xdr:nvSpPr>
      <xdr:spPr>
        <a:xfrm>
          <a:off x="5997973" y="546495"/>
          <a:ext cx="2060135" cy="1050142"/>
        </a:xfrm>
        <a:prstGeom prst="rect">
          <a:avLst/>
        </a:prstGeom>
        <a:solidFill>
          <a:schemeClr val="tx2">
            <a:lumMod val="50000"/>
          </a:schemeClr>
        </a:solidFill>
        <a:ln w="9525" cmpd="sng">
          <a:solidFill>
            <a:schemeClr val="tx2">
              <a:lumMod val="60000"/>
              <a:lumOff val="40000"/>
            </a:schemeClr>
          </a:solid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nSpc>
              <a:spcPts val="1200"/>
            </a:lnSpc>
          </a:pPr>
          <a:r>
            <a:rPr lang="es-ES" sz="1100" b="1">
              <a:solidFill>
                <a:schemeClr val="bg1"/>
              </a:solidFill>
              <a:latin typeface="+mn-lt"/>
              <a:ea typeface="+mn-ea"/>
              <a:cs typeface="+mn-cs"/>
            </a:rPr>
            <a:t>Grafique el tamaño de las  cuentas principales. Para tal fin seleccione desde la celda B4 hasta la celda E8 y luego pulse la tecla F11 , de la misma forma para cada cuadro</a:t>
          </a:r>
          <a:endParaRPr lang="es-ES" sz="1100">
            <a:solidFill>
              <a:schemeClr val="bg1"/>
            </a:solidFill>
            <a:latin typeface="+mn-lt"/>
            <a:ea typeface="+mn-ea"/>
            <a:cs typeface="+mn-cs"/>
          </a:endParaRPr>
        </a:p>
      </xdr:txBody>
    </xdr:sp>
    <xdr:clientData/>
  </xdr:twoCellAnchor>
  <xdr:twoCellAnchor>
    <xdr:from>
      <xdr:col>1</xdr:col>
      <xdr:colOff>12</xdr:colOff>
      <xdr:row>0</xdr:row>
      <xdr:rowOff>56355</xdr:rowOff>
    </xdr:from>
    <xdr:to>
      <xdr:col>4</xdr:col>
      <xdr:colOff>702147</xdr:colOff>
      <xdr:row>1</xdr:row>
      <xdr:rowOff>72206</xdr:rowOff>
    </xdr:to>
    <xdr:sp macro="" textlink="">
      <xdr:nvSpPr>
        <xdr:cNvPr id="3" name="2 CuadroTexto">
          <a:extLst>
            <a:ext uri="{FF2B5EF4-FFF2-40B4-BE49-F238E27FC236}">
              <a16:creationId xmlns:a16="http://schemas.microsoft.com/office/drawing/2014/main" id="{00000000-0008-0000-0500-000003000000}"/>
            </a:ext>
          </a:extLst>
        </xdr:cNvPr>
        <xdr:cNvSpPr txBox="1"/>
      </xdr:nvSpPr>
      <xdr:spPr>
        <a:xfrm>
          <a:off x="361962" y="56355"/>
          <a:ext cx="5245560" cy="206351"/>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s-ES" sz="1100" b="1">
              <a:solidFill>
                <a:schemeClr val="bg1"/>
              </a:solidFill>
              <a:latin typeface="+mn-lt"/>
              <a:ea typeface="+mn-ea"/>
              <a:cs typeface="+mn-cs"/>
            </a:rPr>
            <a:t>Grafique cada uno de los cuadros que se encuentran a continuación </a:t>
          </a:r>
          <a:endParaRPr lang="es-ES" sz="1100">
            <a:solidFill>
              <a:schemeClr val="bg1"/>
            </a:solidFill>
            <a:latin typeface="+mn-lt"/>
            <a:ea typeface="+mn-ea"/>
            <a:cs typeface="+mn-cs"/>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B3:H31"/>
  <sheetViews>
    <sheetView topLeftCell="A7" workbookViewId="0">
      <selection activeCell="D21" sqref="D21"/>
    </sheetView>
  </sheetViews>
  <sheetFormatPr baseColWidth="10" defaultRowHeight="14.4" x14ac:dyDescent="0.3"/>
  <cols>
    <col min="2" max="2" width="40.5546875" customWidth="1"/>
  </cols>
  <sheetData>
    <row r="3" spans="2:8" ht="23.4" x14ac:dyDescent="0.45">
      <c r="B3" s="169" t="s">
        <v>23</v>
      </c>
      <c r="C3" s="169"/>
      <c r="D3" s="169"/>
      <c r="E3" s="169"/>
      <c r="F3" s="169"/>
      <c r="G3" s="169"/>
      <c r="H3" s="169"/>
    </row>
    <row r="4" spans="2:8" ht="18" x14ac:dyDescent="0.35">
      <c r="B4" s="170" t="s">
        <v>22</v>
      </c>
      <c r="C4" s="170"/>
      <c r="D4" s="170"/>
      <c r="E4" s="170"/>
      <c r="F4" s="170"/>
      <c r="G4" s="170"/>
      <c r="H4" s="170"/>
    </row>
    <row r="6" spans="2:8" ht="15.6" x14ac:dyDescent="0.3">
      <c r="B6" s="171"/>
      <c r="C6" s="171"/>
    </row>
    <row r="7" spans="2:8" ht="15.6" x14ac:dyDescent="0.3">
      <c r="B7" s="171"/>
      <c r="C7" s="171"/>
    </row>
    <row r="8" spans="2:8" ht="15.6" x14ac:dyDescent="0.3">
      <c r="B8" s="171"/>
      <c r="C8" s="171"/>
    </row>
    <row r="9" spans="2:8" ht="15" x14ac:dyDescent="0.3">
      <c r="B9" s="168"/>
      <c r="C9" s="168"/>
    </row>
    <row r="10" spans="2:8" ht="15" x14ac:dyDescent="0.3">
      <c r="B10" s="1"/>
      <c r="C10" s="2"/>
    </row>
    <row r="11" spans="2:8" ht="15" x14ac:dyDescent="0.3">
      <c r="B11" s="1"/>
      <c r="C11" s="2"/>
    </row>
    <row r="12" spans="2:8" ht="15" x14ac:dyDescent="0.3">
      <c r="B12" s="1"/>
      <c r="C12" s="2"/>
    </row>
    <row r="13" spans="2:8" ht="16.2" thickBot="1" x14ac:dyDescent="0.35">
      <c r="B13" s="3"/>
      <c r="C13" s="7" t="s">
        <v>1</v>
      </c>
      <c r="D13" s="8" t="s">
        <v>2</v>
      </c>
      <c r="E13" s="9" t="s">
        <v>3</v>
      </c>
    </row>
    <row r="14" spans="2:8" ht="17.25" customHeight="1" thickTop="1" x14ac:dyDescent="0.3">
      <c r="B14" s="5" t="s">
        <v>4</v>
      </c>
      <c r="C14" s="6">
        <v>245</v>
      </c>
      <c r="D14" s="6">
        <v>440</v>
      </c>
      <c r="E14" s="6">
        <v>260</v>
      </c>
    </row>
    <row r="15" spans="2:8" ht="17.25" customHeight="1" x14ac:dyDescent="0.3">
      <c r="B15" s="5" t="s">
        <v>5</v>
      </c>
      <c r="C15" s="6">
        <v>232.9</v>
      </c>
      <c r="D15" s="6">
        <v>491.81340000000006</v>
      </c>
      <c r="E15" s="6">
        <v>522.10619999999994</v>
      </c>
    </row>
    <row r="16" spans="2:8" ht="15" x14ac:dyDescent="0.3">
      <c r="B16" s="5" t="s">
        <v>6</v>
      </c>
      <c r="C16" s="6">
        <v>270</v>
      </c>
      <c r="D16" s="6">
        <v>443.49</v>
      </c>
      <c r="E16" s="6">
        <v>877.86000000000013</v>
      </c>
    </row>
    <row r="17" spans="2:5" ht="15" x14ac:dyDescent="0.3">
      <c r="B17" s="5" t="s">
        <v>7</v>
      </c>
      <c r="C17" s="6">
        <v>350</v>
      </c>
      <c r="D17" s="6">
        <v>1500</v>
      </c>
      <c r="E17" s="6">
        <v>1250</v>
      </c>
    </row>
    <row r="18" spans="2:5" ht="15" x14ac:dyDescent="0.3">
      <c r="B18" s="5" t="s">
        <v>8</v>
      </c>
      <c r="C18" s="6">
        <v>400</v>
      </c>
      <c r="D18" s="6">
        <v>400</v>
      </c>
      <c r="E18" s="6">
        <v>500</v>
      </c>
    </row>
    <row r="19" spans="2:5" ht="15" x14ac:dyDescent="0.3">
      <c r="B19" s="5" t="s">
        <v>9</v>
      </c>
      <c r="C19" s="6">
        <v>455</v>
      </c>
      <c r="D19" s="6">
        <v>675</v>
      </c>
      <c r="E19" s="6">
        <v>1045</v>
      </c>
    </row>
    <row r="20" spans="2:5" ht="15" x14ac:dyDescent="0.3">
      <c r="B20" s="5" t="s">
        <v>10</v>
      </c>
      <c r="C20" s="6">
        <v>384</v>
      </c>
      <c r="D20" s="6">
        <v>260</v>
      </c>
      <c r="E20" s="6">
        <v>1028</v>
      </c>
    </row>
    <row r="21" spans="2:5" ht="15" x14ac:dyDescent="0.3">
      <c r="B21" s="5" t="s">
        <v>11</v>
      </c>
      <c r="C21" s="6">
        <v>1345</v>
      </c>
      <c r="D21" s="6">
        <v>1985</v>
      </c>
      <c r="E21" s="6">
        <v>3230</v>
      </c>
    </row>
    <row r="22" spans="2:5" ht="15" x14ac:dyDescent="0.3">
      <c r="B22" s="5" t="s">
        <v>12</v>
      </c>
      <c r="C22" s="6">
        <v>1476</v>
      </c>
      <c r="D22" s="6">
        <v>1668</v>
      </c>
      <c r="E22" s="6">
        <v>4711</v>
      </c>
    </row>
    <row r="23" spans="2:5" ht="15" x14ac:dyDescent="0.3">
      <c r="B23" s="5" t="s">
        <v>13</v>
      </c>
      <c r="C23" s="6">
        <v>1555</v>
      </c>
      <c r="D23" s="6">
        <v>1625</v>
      </c>
      <c r="E23" s="6">
        <v>3605</v>
      </c>
    </row>
    <row r="24" spans="2:5" ht="15" x14ac:dyDescent="0.3">
      <c r="B24" s="5" t="s">
        <v>14</v>
      </c>
      <c r="C24" s="6">
        <v>1905</v>
      </c>
      <c r="D24" s="6">
        <v>2205</v>
      </c>
      <c r="E24" s="6">
        <v>4009</v>
      </c>
    </row>
    <row r="25" spans="2:5" ht="15" x14ac:dyDescent="0.3">
      <c r="B25" s="5" t="s">
        <v>15</v>
      </c>
      <c r="C25" s="6">
        <v>2090</v>
      </c>
      <c r="D25" s="6">
        <v>2555</v>
      </c>
      <c r="E25" s="6">
        <v>3275</v>
      </c>
    </row>
    <row r="26" spans="2:5" ht="15" x14ac:dyDescent="0.3">
      <c r="B26" s="5" t="s">
        <v>16</v>
      </c>
      <c r="C26" s="6">
        <v>2295</v>
      </c>
      <c r="D26" s="6">
        <v>2550</v>
      </c>
      <c r="E26" s="6">
        <v>3750</v>
      </c>
    </row>
    <row r="27" spans="2:5" ht="15" x14ac:dyDescent="0.3">
      <c r="B27" s="5" t="s">
        <v>17</v>
      </c>
      <c r="C27" s="6">
        <v>3250</v>
      </c>
      <c r="D27" s="6">
        <v>4090</v>
      </c>
      <c r="E27" s="6">
        <v>4905</v>
      </c>
    </row>
    <row r="28" spans="2:5" ht="15" x14ac:dyDescent="0.3">
      <c r="B28" s="5" t="s">
        <v>18</v>
      </c>
      <c r="C28" s="6">
        <v>4075</v>
      </c>
      <c r="D28" s="6">
        <v>5865</v>
      </c>
      <c r="E28" s="6">
        <v>8390</v>
      </c>
    </row>
    <row r="29" spans="2:5" ht="15" x14ac:dyDescent="0.3">
      <c r="B29" s="5" t="s">
        <v>19</v>
      </c>
      <c r="C29" s="6">
        <v>4660</v>
      </c>
      <c r="D29" s="6">
        <v>5110</v>
      </c>
      <c r="E29" s="6">
        <v>6110</v>
      </c>
    </row>
    <row r="30" spans="2:5" ht="15" x14ac:dyDescent="0.3">
      <c r="B30" s="5" t="s">
        <v>20</v>
      </c>
      <c r="C30" s="6">
        <v>10685</v>
      </c>
      <c r="D30" s="6">
        <v>13445</v>
      </c>
      <c r="E30" s="6">
        <v>19610</v>
      </c>
    </row>
    <row r="31" spans="2:5" ht="16.5" customHeight="1" x14ac:dyDescent="0.3">
      <c r="B31" s="5" t="s">
        <v>21</v>
      </c>
      <c r="C31" s="6">
        <v>16980</v>
      </c>
      <c r="D31" s="6">
        <v>21980</v>
      </c>
      <c r="E31" s="6">
        <v>30250</v>
      </c>
    </row>
  </sheetData>
  <mergeCells count="6">
    <mergeCell ref="B9:C9"/>
    <mergeCell ref="B3:H3"/>
    <mergeCell ref="B4:H4"/>
    <mergeCell ref="B6:C6"/>
    <mergeCell ref="B7:C7"/>
    <mergeCell ref="B8:C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C6:G24"/>
  <sheetViews>
    <sheetView topLeftCell="A6" workbookViewId="0">
      <selection activeCell="H22" sqref="H22"/>
    </sheetView>
  </sheetViews>
  <sheetFormatPr baseColWidth="10" defaultRowHeight="14.4" x14ac:dyDescent="0.3"/>
  <cols>
    <col min="3" max="3" width="47.6640625" customWidth="1"/>
  </cols>
  <sheetData>
    <row r="6" spans="3:7" ht="15.6" x14ac:dyDescent="0.3">
      <c r="C6" s="171" t="s">
        <v>24</v>
      </c>
      <c r="D6" s="171"/>
      <c r="E6" s="171"/>
      <c r="F6" s="171"/>
    </row>
    <row r="7" spans="3:7" ht="15.6" x14ac:dyDescent="0.3">
      <c r="C7" s="171" t="s">
        <v>0</v>
      </c>
      <c r="D7" s="171"/>
      <c r="E7" s="171"/>
      <c r="F7" s="171"/>
    </row>
    <row r="8" spans="3:7" ht="15.6" x14ac:dyDescent="0.3">
      <c r="C8" s="171" t="s">
        <v>25</v>
      </c>
      <c r="D8" s="171"/>
      <c r="E8" s="171"/>
      <c r="F8" s="171"/>
    </row>
    <row r="9" spans="3:7" ht="15" x14ac:dyDescent="0.3">
      <c r="C9" s="168" t="s">
        <v>26</v>
      </c>
      <c r="D9" s="168"/>
      <c r="E9" s="168"/>
      <c r="F9" s="168"/>
      <c r="G9" s="168"/>
    </row>
    <row r="10" spans="3:7" ht="15" x14ac:dyDescent="0.3">
      <c r="C10" s="1"/>
      <c r="D10" s="2"/>
      <c r="E10" s="2"/>
      <c r="F10" s="2"/>
      <c r="G10" s="1"/>
    </row>
    <row r="11" spans="3:7" ht="15" x14ac:dyDescent="0.3">
      <c r="C11" s="1"/>
      <c r="D11" s="1"/>
      <c r="E11" s="1"/>
      <c r="F11" s="1"/>
      <c r="G11" s="1"/>
    </row>
    <row r="12" spans="3:7" ht="16.2" thickBot="1" x14ac:dyDescent="0.35">
      <c r="C12" s="3"/>
      <c r="D12" s="7" t="s">
        <v>38</v>
      </c>
      <c r="E12" s="8" t="s">
        <v>39</v>
      </c>
      <c r="F12" s="9" t="s">
        <v>40</v>
      </c>
    </row>
    <row r="13" spans="3:7" ht="22.5" customHeight="1" thickTop="1" x14ac:dyDescent="0.3">
      <c r="C13" s="10" t="s">
        <v>27</v>
      </c>
      <c r="D13" s="11">
        <f>+DATOS!C31</f>
        <v>16980</v>
      </c>
      <c r="E13" s="11">
        <f>+DATOS!D31</f>
        <v>21980</v>
      </c>
      <c r="F13" s="11">
        <f>+DATOS!E31</f>
        <v>30250</v>
      </c>
    </row>
    <row r="14" spans="3:7" ht="15.6" thickBot="1" x14ac:dyDescent="0.35">
      <c r="C14" s="10" t="s">
        <v>28</v>
      </c>
      <c r="D14" s="12">
        <f>+DATOS!C30</f>
        <v>10685</v>
      </c>
      <c r="E14" s="12">
        <f>+DATOS!D30</f>
        <v>13445</v>
      </c>
      <c r="F14" s="12">
        <f>+DATOS!E30</f>
        <v>19610</v>
      </c>
    </row>
    <row r="15" spans="3:7" ht="16.2" thickTop="1" x14ac:dyDescent="0.3">
      <c r="C15" s="13" t="s">
        <v>41</v>
      </c>
      <c r="D15" s="166">
        <f>+D13-D14</f>
        <v>6295</v>
      </c>
      <c r="E15" s="166">
        <f t="shared" ref="E15:F15" si="0">+E13-E14</f>
        <v>8535</v>
      </c>
      <c r="F15" s="166">
        <f t="shared" si="0"/>
        <v>10640</v>
      </c>
    </row>
    <row r="16" spans="3:7" ht="15" x14ac:dyDescent="0.3">
      <c r="C16" s="10" t="s">
        <v>30</v>
      </c>
      <c r="D16" s="10">
        <f>+DATOS!C25</f>
        <v>2090</v>
      </c>
      <c r="E16" s="10">
        <f>+DATOS!D25</f>
        <v>2555</v>
      </c>
      <c r="F16" s="10">
        <f>+DATOS!E25</f>
        <v>3275</v>
      </c>
    </row>
    <row r="17" spans="3:6" ht="15.6" thickBot="1" x14ac:dyDescent="0.35">
      <c r="C17" s="10" t="s">
        <v>31</v>
      </c>
      <c r="D17" s="12">
        <f>+DATOS!C27</f>
        <v>3250</v>
      </c>
      <c r="E17" s="12">
        <f>+DATOS!D27</f>
        <v>4090</v>
      </c>
      <c r="F17" s="12">
        <f>+DATOS!E27</f>
        <v>4905</v>
      </c>
    </row>
    <row r="18" spans="3:6" ht="16.2" thickTop="1" x14ac:dyDescent="0.3">
      <c r="C18" s="13" t="s">
        <v>42</v>
      </c>
      <c r="D18" s="166">
        <f>+D15-D16-D17</f>
        <v>955</v>
      </c>
      <c r="E18" s="166">
        <f t="shared" ref="E18:F18" si="1">+E15-E16-E17</f>
        <v>1890</v>
      </c>
      <c r="F18" s="166">
        <f t="shared" si="1"/>
        <v>2460</v>
      </c>
    </row>
    <row r="19" spans="3:6" ht="15.6" thickBot="1" x14ac:dyDescent="0.35">
      <c r="C19" s="10" t="s">
        <v>33</v>
      </c>
      <c r="D19" s="12">
        <f>+DATOS!C16</f>
        <v>270</v>
      </c>
      <c r="E19" s="12">
        <f>+DATOS!D16</f>
        <v>443.49</v>
      </c>
      <c r="F19" s="12">
        <f>+DATOS!E16</f>
        <v>877.86000000000013</v>
      </c>
    </row>
    <row r="20" spans="3:6" ht="18" customHeight="1" thickTop="1" x14ac:dyDescent="0.3">
      <c r="C20" s="13" t="s">
        <v>34</v>
      </c>
      <c r="D20" s="167">
        <f>+D18-D19</f>
        <v>685</v>
      </c>
      <c r="E20" s="167">
        <f t="shared" ref="E20:F20" si="2">+E18-E19</f>
        <v>1446.51</v>
      </c>
      <c r="F20" s="167">
        <f t="shared" si="2"/>
        <v>1582.1399999999999</v>
      </c>
    </row>
    <row r="21" spans="3:6" ht="15.6" thickBot="1" x14ac:dyDescent="0.35">
      <c r="C21" s="10" t="s">
        <v>35</v>
      </c>
      <c r="D21" s="12">
        <f>+DATOS!C15</f>
        <v>232.9</v>
      </c>
      <c r="E21" s="12">
        <f>+DATOS!D15</f>
        <v>491.81340000000006</v>
      </c>
      <c r="F21" s="12">
        <f>+DATOS!E15</f>
        <v>522.10619999999994</v>
      </c>
    </row>
    <row r="22" spans="3:6" ht="16.2" thickTop="1" x14ac:dyDescent="0.3">
      <c r="C22" s="13" t="s">
        <v>36</v>
      </c>
      <c r="D22" s="167">
        <f>+D20-D21</f>
        <v>452.1</v>
      </c>
      <c r="E22" s="167">
        <f t="shared" ref="E22:F22" si="3">+E20-E21</f>
        <v>954.69659999999999</v>
      </c>
      <c r="F22" s="167">
        <f t="shared" si="3"/>
        <v>1060.0337999999999</v>
      </c>
    </row>
    <row r="23" spans="3:6" ht="15" x14ac:dyDescent="0.3">
      <c r="C23" s="3"/>
      <c r="D23" s="3"/>
      <c r="E23" s="3"/>
      <c r="F23" s="3"/>
    </row>
    <row r="24" spans="3:6" x14ac:dyDescent="0.3">
      <c r="C24" t="s">
        <v>37</v>
      </c>
      <c r="D24" s="14">
        <f>+D21/D20</f>
        <v>0.34</v>
      </c>
      <c r="E24" s="14">
        <f t="shared" ref="E24:F24" si="4">+E21/E20</f>
        <v>0.34</v>
      </c>
      <c r="F24" s="14">
        <f t="shared" si="4"/>
        <v>0.33</v>
      </c>
    </row>
  </sheetData>
  <mergeCells count="4">
    <mergeCell ref="C6:F6"/>
    <mergeCell ref="C7:F7"/>
    <mergeCell ref="C8:F8"/>
    <mergeCell ref="C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C3:F37"/>
  <sheetViews>
    <sheetView workbookViewId="0">
      <selection activeCell="D32" sqref="D32"/>
    </sheetView>
  </sheetViews>
  <sheetFormatPr baseColWidth="10" defaultRowHeight="14.4" x14ac:dyDescent="0.3"/>
  <cols>
    <col min="3" max="3" width="41.6640625" customWidth="1"/>
    <col min="4" max="4" width="13.33203125" bestFit="1" customWidth="1"/>
    <col min="6" max="6" width="8.44140625" bestFit="1" customWidth="1"/>
  </cols>
  <sheetData>
    <row r="3" spans="3:6" ht="15.6" x14ac:dyDescent="0.3">
      <c r="C3" s="171" t="s">
        <v>24</v>
      </c>
      <c r="D3" s="171"/>
      <c r="E3" s="171"/>
      <c r="F3" s="171"/>
    </row>
    <row r="4" spans="3:6" ht="15.6" x14ac:dyDescent="0.3">
      <c r="C4" s="171" t="s">
        <v>58</v>
      </c>
      <c r="D4" s="171"/>
      <c r="E4" s="171"/>
      <c r="F4" s="171"/>
    </row>
    <row r="5" spans="3:6" ht="15.6" x14ac:dyDescent="0.3">
      <c r="C5" s="171" t="s">
        <v>43</v>
      </c>
      <c r="D5" s="171"/>
      <c r="E5" s="171"/>
      <c r="F5" s="171"/>
    </row>
    <row r="6" spans="3:6" ht="15.6" x14ac:dyDescent="0.3">
      <c r="C6" s="15"/>
      <c r="D6" s="15"/>
      <c r="E6" s="15"/>
      <c r="F6" s="15"/>
    </row>
    <row r="7" spans="3:6" ht="15.6" x14ac:dyDescent="0.3">
      <c r="C7" s="15"/>
      <c r="D7" s="15"/>
      <c r="E7" s="15"/>
      <c r="F7" s="15"/>
    </row>
    <row r="8" spans="3:6" ht="15.6" x14ac:dyDescent="0.3">
      <c r="C8" s="15"/>
      <c r="D8" s="15"/>
      <c r="E8" s="15"/>
      <c r="F8" s="15"/>
    </row>
    <row r="9" spans="3:6" ht="24" customHeight="1" thickBot="1" x14ac:dyDescent="0.35">
      <c r="C9" s="16" t="s">
        <v>26</v>
      </c>
      <c r="D9" s="7" t="s">
        <v>38</v>
      </c>
      <c r="E9" s="8" t="s">
        <v>39</v>
      </c>
      <c r="F9" s="9" t="s">
        <v>40</v>
      </c>
    </row>
    <row r="10" spans="3:6" ht="16.2" thickTop="1" x14ac:dyDescent="0.3">
      <c r="C10" s="13" t="s">
        <v>44</v>
      </c>
      <c r="D10" s="3"/>
      <c r="E10" s="3"/>
      <c r="F10" s="3"/>
    </row>
    <row r="11" spans="3:6" ht="18" customHeight="1" x14ac:dyDescent="0.3">
      <c r="C11" s="10" t="s">
        <v>45</v>
      </c>
      <c r="D11" s="11">
        <f>+DATOS!C14</f>
        <v>245</v>
      </c>
      <c r="E11" s="11">
        <f>+DATOS!D14</f>
        <v>440</v>
      </c>
      <c r="F11" s="11">
        <f>+DATOS!E14</f>
        <v>260</v>
      </c>
    </row>
    <row r="12" spans="3:6" ht="15" x14ac:dyDescent="0.3">
      <c r="C12" s="10" t="s">
        <v>18</v>
      </c>
      <c r="D12" s="11">
        <f>DATOS!$C$28</f>
        <v>4075</v>
      </c>
      <c r="E12" s="11">
        <f>DATOS!D28</f>
        <v>5865</v>
      </c>
      <c r="F12" s="11">
        <f>DATOS!E28</f>
        <v>8390</v>
      </c>
    </row>
    <row r="13" spans="3:6" ht="15.6" thickBot="1" x14ac:dyDescent="0.35">
      <c r="C13" s="10" t="s">
        <v>11</v>
      </c>
      <c r="D13" s="12">
        <f>DATOS!$C$21</f>
        <v>1345</v>
      </c>
      <c r="E13" s="12">
        <f>DATOS!D21</f>
        <v>1985</v>
      </c>
      <c r="F13" s="12">
        <f>DATOS!E21</f>
        <v>3230</v>
      </c>
    </row>
    <row r="14" spans="3:6" ht="16.2" thickTop="1" x14ac:dyDescent="0.3">
      <c r="C14" s="13" t="s">
        <v>46</v>
      </c>
      <c r="D14" s="20">
        <f>SUM(D11:D13)</f>
        <v>5665</v>
      </c>
      <c r="E14" s="20">
        <f t="shared" ref="E14:F14" si="0">SUM(E11:E13)</f>
        <v>8290</v>
      </c>
      <c r="F14" s="20">
        <f t="shared" si="0"/>
        <v>11880</v>
      </c>
    </row>
    <row r="15" spans="3:6" ht="15" x14ac:dyDescent="0.3">
      <c r="C15" s="10"/>
      <c r="D15" s="11"/>
      <c r="E15" s="11"/>
      <c r="F15" s="11"/>
    </row>
    <row r="16" spans="3:6" ht="15" x14ac:dyDescent="0.3">
      <c r="C16" s="10" t="s">
        <v>8</v>
      </c>
      <c r="D16" s="11">
        <f>DATOS!C18</f>
        <v>400</v>
      </c>
      <c r="E16" s="11">
        <f>DATOS!D18</f>
        <v>400</v>
      </c>
      <c r="F16" s="11">
        <f>DATOS!E18</f>
        <v>500</v>
      </c>
    </row>
    <row r="17" spans="3:6" ht="15" x14ac:dyDescent="0.3">
      <c r="C17" s="10" t="s">
        <v>16</v>
      </c>
      <c r="D17" s="11">
        <f>DATOS!C26</f>
        <v>2295</v>
      </c>
      <c r="E17" s="11">
        <f>DATOS!D26</f>
        <v>2550</v>
      </c>
      <c r="F17" s="11">
        <f>DATOS!E26</f>
        <v>3750</v>
      </c>
    </row>
    <row r="18" spans="3:6" ht="15" x14ac:dyDescent="0.3">
      <c r="C18" s="10" t="s">
        <v>13</v>
      </c>
      <c r="D18" s="11">
        <f>DATOS!C23</f>
        <v>1555</v>
      </c>
      <c r="E18" s="11">
        <f>DATOS!D23</f>
        <v>1625</v>
      </c>
      <c r="F18" s="11">
        <f>DATOS!E23</f>
        <v>3605</v>
      </c>
    </row>
    <row r="19" spans="3:6" ht="15.6" thickBot="1" x14ac:dyDescent="0.35">
      <c r="C19" s="10" t="s">
        <v>9</v>
      </c>
      <c r="D19" s="202">
        <f>-DATOS!C19</f>
        <v>-455</v>
      </c>
      <c r="E19" s="202">
        <f>-DATOS!D19</f>
        <v>-675</v>
      </c>
      <c r="F19" s="202">
        <f>-DATOS!E19</f>
        <v>-1045</v>
      </c>
    </row>
    <row r="20" spans="3:6" ht="16.2" thickBot="1" x14ac:dyDescent="0.35">
      <c r="C20" s="13" t="s">
        <v>47</v>
      </c>
      <c r="D20" s="201">
        <f>SUM(D16:D19)</f>
        <v>3795</v>
      </c>
      <c r="E20" s="201">
        <f t="shared" ref="E20:F20" si="1">SUM(E16:E19)</f>
        <v>3900</v>
      </c>
      <c r="F20" s="201">
        <f t="shared" si="1"/>
        <v>6810</v>
      </c>
    </row>
    <row r="21" spans="3:6" ht="16.8" thickTop="1" thickBot="1" x14ac:dyDescent="0.35">
      <c r="C21" s="13" t="s">
        <v>48</v>
      </c>
      <c r="D21" s="17">
        <f>D14+D20</f>
        <v>9460</v>
      </c>
      <c r="E21" s="17">
        <f t="shared" ref="E21:F21" si="2">E14+E20</f>
        <v>12190</v>
      </c>
      <c r="F21" s="17">
        <f t="shared" si="2"/>
        <v>18690</v>
      </c>
    </row>
    <row r="22" spans="3:6" ht="15.6" thickTop="1" x14ac:dyDescent="0.3">
      <c r="C22" s="10"/>
      <c r="D22" s="11"/>
      <c r="E22" s="11"/>
      <c r="F22" s="11"/>
    </row>
    <row r="23" spans="3:6" ht="15.6" x14ac:dyDescent="0.3">
      <c r="C23" s="13" t="s">
        <v>49</v>
      </c>
      <c r="D23" s="11"/>
      <c r="E23" s="11"/>
      <c r="F23" s="11"/>
    </row>
    <row r="24" spans="3:6" ht="15" x14ac:dyDescent="0.3">
      <c r="C24" s="10" t="s">
        <v>12</v>
      </c>
      <c r="D24" s="11">
        <f>DATOS!C22</f>
        <v>1476</v>
      </c>
      <c r="E24" s="11">
        <f>DATOS!D22</f>
        <v>1668</v>
      </c>
      <c r="F24" s="11">
        <f>DATOS!E22</f>
        <v>4711</v>
      </c>
    </row>
    <row r="25" spans="3:6" ht="15" x14ac:dyDescent="0.3">
      <c r="C25" s="10" t="s">
        <v>50</v>
      </c>
      <c r="D25" s="11">
        <f>DATOS!C15</f>
        <v>232.9</v>
      </c>
      <c r="E25" s="11">
        <f>DATOS!D15</f>
        <v>491.81340000000006</v>
      </c>
      <c r="F25" s="11">
        <f>DATOS!E15</f>
        <v>522.10619999999994</v>
      </c>
    </row>
    <row r="26" spans="3:6" ht="15.6" thickBot="1" x14ac:dyDescent="0.35">
      <c r="C26" s="10" t="s">
        <v>14</v>
      </c>
      <c r="D26" s="12">
        <f>DATOS!C24</f>
        <v>1905</v>
      </c>
      <c r="E26" s="12">
        <f>DATOS!D24</f>
        <v>2205</v>
      </c>
      <c r="F26" s="12">
        <f>DATOS!E24</f>
        <v>4009</v>
      </c>
    </row>
    <row r="27" spans="3:6" ht="16.2" thickTop="1" x14ac:dyDescent="0.3">
      <c r="C27" s="13" t="s">
        <v>51</v>
      </c>
      <c r="D27" s="20">
        <f>SUM(D24:D26)</f>
        <v>3613.9</v>
      </c>
      <c r="E27" s="20">
        <f t="shared" ref="E27:F27" si="3">SUM(E24:E26)</f>
        <v>4364.8134</v>
      </c>
      <c r="F27" s="20">
        <f t="shared" si="3"/>
        <v>9242.1062000000002</v>
      </c>
    </row>
    <row r="28" spans="3:6" ht="15.6" thickBot="1" x14ac:dyDescent="0.35">
      <c r="C28" s="10" t="s">
        <v>7</v>
      </c>
      <c r="D28" s="12">
        <f>DATOS!C17</f>
        <v>350</v>
      </c>
      <c r="E28" s="12">
        <f>DATOS!D17</f>
        <v>1500</v>
      </c>
      <c r="F28" s="12">
        <f>DATOS!E17</f>
        <v>1250</v>
      </c>
    </row>
    <row r="29" spans="3:6" ht="16.8" thickTop="1" thickBot="1" x14ac:dyDescent="0.35">
      <c r="C29" s="13" t="s">
        <v>52</v>
      </c>
      <c r="D29" s="18">
        <f>SUM(D27:D28)</f>
        <v>3963.9</v>
      </c>
      <c r="E29" s="18">
        <f t="shared" ref="E29:F29" si="4">SUM(E27:E28)</f>
        <v>5864.8134</v>
      </c>
      <c r="F29" s="18">
        <f t="shared" si="4"/>
        <v>10492.1062</v>
      </c>
    </row>
    <row r="30" spans="3:6" ht="15" x14ac:dyDescent="0.3">
      <c r="C30" s="10"/>
      <c r="D30" s="11"/>
      <c r="E30" s="11"/>
      <c r="F30" s="11"/>
    </row>
    <row r="31" spans="3:6" ht="15.6" x14ac:dyDescent="0.3">
      <c r="C31" s="13" t="s">
        <v>53</v>
      </c>
      <c r="D31" s="11"/>
      <c r="E31" s="11"/>
      <c r="F31" s="11"/>
    </row>
    <row r="32" spans="3:6" ht="15" x14ac:dyDescent="0.3">
      <c r="C32" s="10" t="s">
        <v>19</v>
      </c>
      <c r="D32" s="11">
        <f>DATOS!C29</f>
        <v>4660</v>
      </c>
      <c r="E32" s="11">
        <f>DATOS!D29</f>
        <v>5110</v>
      </c>
      <c r="F32" s="11">
        <f>DATOS!E29</f>
        <v>6110</v>
      </c>
    </row>
    <row r="33" spans="3:6" ht="15" x14ac:dyDescent="0.3">
      <c r="C33" s="10" t="s">
        <v>54</v>
      </c>
      <c r="D33" s="11">
        <f>'ESTADO DE RESULTADOS'!D22</f>
        <v>452.1</v>
      </c>
      <c r="E33" s="11">
        <f>'ESTADO DE RESULTADOS'!E22</f>
        <v>954.69659999999999</v>
      </c>
      <c r="F33" s="11">
        <f>'ESTADO DE RESULTADOS'!F22</f>
        <v>1060.0337999999999</v>
      </c>
    </row>
    <row r="34" spans="3:6" ht="15" x14ac:dyDescent="0.3">
      <c r="C34" s="10" t="s">
        <v>10</v>
      </c>
      <c r="D34" s="11">
        <f>DATOS!C20</f>
        <v>384</v>
      </c>
      <c r="E34" s="11">
        <f>DATOS!D20</f>
        <v>260</v>
      </c>
      <c r="F34" s="11">
        <f>DATOS!E20</f>
        <v>1028</v>
      </c>
    </row>
    <row r="35" spans="3:6" ht="15.6" thickBot="1" x14ac:dyDescent="0.35">
      <c r="C35" s="10" t="s">
        <v>55</v>
      </c>
      <c r="D35" s="12">
        <f>SUM(D32:D34)</f>
        <v>5496.1</v>
      </c>
      <c r="E35" s="12">
        <f t="shared" ref="E35:F35" si="5">SUM(E32:E34)</f>
        <v>6324.6966000000002</v>
      </c>
      <c r="F35" s="12">
        <f t="shared" si="5"/>
        <v>8198.0338000000011</v>
      </c>
    </row>
    <row r="36" spans="3:6" ht="16.8" thickTop="1" thickBot="1" x14ac:dyDescent="0.35">
      <c r="C36" s="13" t="s">
        <v>56</v>
      </c>
      <c r="D36" s="19">
        <f>SUM(D35+D29)</f>
        <v>9460</v>
      </c>
      <c r="E36" s="19">
        <f t="shared" ref="E36:F36" si="6">SUM(E35+E29)</f>
        <v>12189.51</v>
      </c>
      <c r="F36" s="19">
        <f t="shared" si="6"/>
        <v>18690.14</v>
      </c>
    </row>
    <row r="37" spans="3:6" ht="15.6" thickTop="1" x14ac:dyDescent="0.3">
      <c r="C37" s="10" t="s">
        <v>57</v>
      </c>
      <c r="D37" s="11">
        <f>+D36-D21</f>
        <v>0</v>
      </c>
      <c r="E37" s="11">
        <f>+E36-E21</f>
        <v>-0.48999999999978172</v>
      </c>
      <c r="F37" s="11">
        <f>+F36-F21</f>
        <v>0.13999999999941792</v>
      </c>
    </row>
  </sheetData>
  <mergeCells count="3">
    <mergeCell ref="C3:F3"/>
    <mergeCell ref="C4:F4"/>
    <mergeCell ref="C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B2:N24"/>
  <sheetViews>
    <sheetView workbookViewId="0">
      <selection activeCell="K9" sqref="K9"/>
    </sheetView>
  </sheetViews>
  <sheetFormatPr baseColWidth="10" defaultRowHeight="14.4" x14ac:dyDescent="0.3"/>
  <cols>
    <col min="1" max="1" width="2.33203125" customWidth="1"/>
    <col min="2" max="2" width="47.33203125" customWidth="1"/>
    <col min="3" max="3" width="14.6640625" bestFit="1" customWidth="1"/>
    <col min="6" max="6" width="4.44140625" customWidth="1"/>
    <col min="10" max="10" width="4.33203125" customWidth="1"/>
    <col min="257" max="257" width="2.33203125" customWidth="1"/>
    <col min="258" max="258" width="47.33203125" customWidth="1"/>
    <col min="259" max="259" width="14.6640625" bestFit="1" customWidth="1"/>
    <col min="262" max="262" width="4.44140625" customWidth="1"/>
    <col min="266" max="266" width="4.33203125" customWidth="1"/>
    <col min="513" max="513" width="2.33203125" customWidth="1"/>
    <col min="514" max="514" width="47.33203125" customWidth="1"/>
    <col min="515" max="515" width="14.6640625" bestFit="1" customWidth="1"/>
    <col min="518" max="518" width="4.44140625" customWidth="1"/>
    <col min="522" max="522" width="4.33203125" customWidth="1"/>
    <col min="769" max="769" width="2.33203125" customWidth="1"/>
    <col min="770" max="770" width="47.33203125" customWidth="1"/>
    <col min="771" max="771" width="14.6640625" bestFit="1" customWidth="1"/>
    <col min="774" max="774" width="4.44140625" customWidth="1"/>
    <col min="778" max="778" width="4.33203125" customWidth="1"/>
    <col min="1025" max="1025" width="2.33203125" customWidth="1"/>
    <col min="1026" max="1026" width="47.33203125" customWidth="1"/>
    <col min="1027" max="1027" width="14.6640625" bestFit="1" customWidth="1"/>
    <col min="1030" max="1030" width="4.44140625" customWidth="1"/>
    <col min="1034" max="1034" width="4.33203125" customWidth="1"/>
    <col min="1281" max="1281" width="2.33203125" customWidth="1"/>
    <col min="1282" max="1282" width="47.33203125" customWidth="1"/>
    <col min="1283" max="1283" width="14.6640625" bestFit="1" customWidth="1"/>
    <col min="1286" max="1286" width="4.44140625" customWidth="1"/>
    <col min="1290" max="1290" width="4.33203125" customWidth="1"/>
    <col min="1537" max="1537" width="2.33203125" customWidth="1"/>
    <col min="1538" max="1538" width="47.33203125" customWidth="1"/>
    <col min="1539" max="1539" width="14.6640625" bestFit="1" customWidth="1"/>
    <col min="1542" max="1542" width="4.44140625" customWidth="1"/>
    <col min="1546" max="1546" width="4.33203125" customWidth="1"/>
    <col min="1793" max="1793" width="2.33203125" customWidth="1"/>
    <col min="1794" max="1794" width="47.33203125" customWidth="1"/>
    <col min="1795" max="1795" width="14.6640625" bestFit="1" customWidth="1"/>
    <col min="1798" max="1798" width="4.44140625" customWidth="1"/>
    <col min="1802" max="1802" width="4.33203125" customWidth="1"/>
    <col min="2049" max="2049" width="2.33203125" customWidth="1"/>
    <col min="2050" max="2050" width="47.33203125" customWidth="1"/>
    <col min="2051" max="2051" width="14.6640625" bestFit="1" customWidth="1"/>
    <col min="2054" max="2054" width="4.44140625" customWidth="1"/>
    <col min="2058" max="2058" width="4.33203125" customWidth="1"/>
    <col min="2305" max="2305" width="2.33203125" customWidth="1"/>
    <col min="2306" max="2306" width="47.33203125" customWidth="1"/>
    <col min="2307" max="2307" width="14.6640625" bestFit="1" customWidth="1"/>
    <col min="2310" max="2310" width="4.44140625" customWidth="1"/>
    <col min="2314" max="2314" width="4.33203125" customWidth="1"/>
    <col min="2561" max="2561" width="2.33203125" customWidth="1"/>
    <col min="2562" max="2562" width="47.33203125" customWidth="1"/>
    <col min="2563" max="2563" width="14.6640625" bestFit="1" customWidth="1"/>
    <col min="2566" max="2566" width="4.44140625" customWidth="1"/>
    <col min="2570" max="2570" width="4.33203125" customWidth="1"/>
    <col min="2817" max="2817" width="2.33203125" customWidth="1"/>
    <col min="2818" max="2818" width="47.33203125" customWidth="1"/>
    <col min="2819" max="2819" width="14.6640625" bestFit="1" customWidth="1"/>
    <col min="2822" max="2822" width="4.44140625" customWidth="1"/>
    <col min="2826" max="2826" width="4.33203125" customWidth="1"/>
    <col min="3073" max="3073" width="2.33203125" customWidth="1"/>
    <col min="3074" max="3074" width="47.33203125" customWidth="1"/>
    <col min="3075" max="3075" width="14.6640625" bestFit="1" customWidth="1"/>
    <col min="3078" max="3078" width="4.44140625" customWidth="1"/>
    <col min="3082" max="3082" width="4.33203125" customWidth="1"/>
    <col min="3329" max="3329" width="2.33203125" customWidth="1"/>
    <col min="3330" max="3330" width="47.33203125" customWidth="1"/>
    <col min="3331" max="3331" width="14.6640625" bestFit="1" customWidth="1"/>
    <col min="3334" max="3334" width="4.44140625" customWidth="1"/>
    <col min="3338" max="3338" width="4.33203125" customWidth="1"/>
    <col min="3585" max="3585" width="2.33203125" customWidth="1"/>
    <col min="3586" max="3586" width="47.33203125" customWidth="1"/>
    <col min="3587" max="3587" width="14.6640625" bestFit="1" customWidth="1"/>
    <col min="3590" max="3590" width="4.44140625" customWidth="1"/>
    <col min="3594" max="3594" width="4.33203125" customWidth="1"/>
    <col min="3841" max="3841" width="2.33203125" customWidth="1"/>
    <col min="3842" max="3842" width="47.33203125" customWidth="1"/>
    <col min="3843" max="3843" width="14.6640625" bestFit="1" customWidth="1"/>
    <col min="3846" max="3846" width="4.44140625" customWidth="1"/>
    <col min="3850" max="3850" width="4.33203125" customWidth="1"/>
    <col min="4097" max="4097" width="2.33203125" customWidth="1"/>
    <col min="4098" max="4098" width="47.33203125" customWidth="1"/>
    <col min="4099" max="4099" width="14.6640625" bestFit="1" customWidth="1"/>
    <col min="4102" max="4102" width="4.44140625" customWidth="1"/>
    <col min="4106" max="4106" width="4.33203125" customWidth="1"/>
    <col min="4353" max="4353" width="2.33203125" customWidth="1"/>
    <col min="4354" max="4354" width="47.33203125" customWidth="1"/>
    <col min="4355" max="4355" width="14.6640625" bestFit="1" customWidth="1"/>
    <col min="4358" max="4358" width="4.44140625" customWidth="1"/>
    <col min="4362" max="4362" width="4.33203125" customWidth="1"/>
    <col min="4609" max="4609" width="2.33203125" customWidth="1"/>
    <col min="4610" max="4610" width="47.33203125" customWidth="1"/>
    <col min="4611" max="4611" width="14.6640625" bestFit="1" customWidth="1"/>
    <col min="4614" max="4614" width="4.44140625" customWidth="1"/>
    <col min="4618" max="4618" width="4.33203125" customWidth="1"/>
    <col min="4865" max="4865" width="2.33203125" customWidth="1"/>
    <col min="4866" max="4866" width="47.33203125" customWidth="1"/>
    <col min="4867" max="4867" width="14.6640625" bestFit="1" customWidth="1"/>
    <col min="4870" max="4870" width="4.44140625" customWidth="1"/>
    <col min="4874" max="4874" width="4.33203125" customWidth="1"/>
    <col min="5121" max="5121" width="2.33203125" customWidth="1"/>
    <col min="5122" max="5122" width="47.33203125" customWidth="1"/>
    <col min="5123" max="5123" width="14.6640625" bestFit="1" customWidth="1"/>
    <col min="5126" max="5126" width="4.44140625" customWidth="1"/>
    <col min="5130" max="5130" width="4.33203125" customWidth="1"/>
    <col min="5377" max="5377" width="2.33203125" customWidth="1"/>
    <col min="5378" max="5378" width="47.33203125" customWidth="1"/>
    <col min="5379" max="5379" width="14.6640625" bestFit="1" customWidth="1"/>
    <col min="5382" max="5382" width="4.44140625" customWidth="1"/>
    <col min="5386" max="5386" width="4.33203125" customWidth="1"/>
    <col min="5633" max="5633" width="2.33203125" customWidth="1"/>
    <col min="5634" max="5634" width="47.33203125" customWidth="1"/>
    <col min="5635" max="5635" width="14.6640625" bestFit="1" customWidth="1"/>
    <col min="5638" max="5638" width="4.44140625" customWidth="1"/>
    <col min="5642" max="5642" width="4.33203125" customWidth="1"/>
    <col min="5889" max="5889" width="2.33203125" customWidth="1"/>
    <col min="5890" max="5890" width="47.33203125" customWidth="1"/>
    <col min="5891" max="5891" width="14.6640625" bestFit="1" customWidth="1"/>
    <col min="5894" max="5894" width="4.44140625" customWidth="1"/>
    <col min="5898" max="5898" width="4.33203125" customWidth="1"/>
    <col min="6145" max="6145" width="2.33203125" customWidth="1"/>
    <col min="6146" max="6146" width="47.33203125" customWidth="1"/>
    <col min="6147" max="6147" width="14.6640625" bestFit="1" customWidth="1"/>
    <col min="6150" max="6150" width="4.44140625" customWidth="1"/>
    <col min="6154" max="6154" width="4.33203125" customWidth="1"/>
    <col min="6401" max="6401" width="2.33203125" customWidth="1"/>
    <col min="6402" max="6402" width="47.33203125" customWidth="1"/>
    <col min="6403" max="6403" width="14.6640625" bestFit="1" customWidth="1"/>
    <col min="6406" max="6406" width="4.44140625" customWidth="1"/>
    <col min="6410" max="6410" width="4.33203125" customWidth="1"/>
    <col min="6657" max="6657" width="2.33203125" customWidth="1"/>
    <col min="6658" max="6658" width="47.33203125" customWidth="1"/>
    <col min="6659" max="6659" width="14.6640625" bestFit="1" customWidth="1"/>
    <col min="6662" max="6662" width="4.44140625" customWidth="1"/>
    <col min="6666" max="6666" width="4.33203125" customWidth="1"/>
    <col min="6913" max="6913" width="2.33203125" customWidth="1"/>
    <col min="6914" max="6914" width="47.33203125" customWidth="1"/>
    <col min="6915" max="6915" width="14.6640625" bestFit="1" customWidth="1"/>
    <col min="6918" max="6918" width="4.44140625" customWidth="1"/>
    <col min="6922" max="6922" width="4.33203125" customWidth="1"/>
    <col min="7169" max="7169" width="2.33203125" customWidth="1"/>
    <col min="7170" max="7170" width="47.33203125" customWidth="1"/>
    <col min="7171" max="7171" width="14.6640625" bestFit="1" customWidth="1"/>
    <col min="7174" max="7174" width="4.44140625" customWidth="1"/>
    <col min="7178" max="7178" width="4.33203125" customWidth="1"/>
    <col min="7425" max="7425" width="2.33203125" customWidth="1"/>
    <col min="7426" max="7426" width="47.33203125" customWidth="1"/>
    <col min="7427" max="7427" width="14.6640625" bestFit="1" customWidth="1"/>
    <col min="7430" max="7430" width="4.44140625" customWidth="1"/>
    <col min="7434" max="7434" width="4.33203125" customWidth="1"/>
    <col min="7681" max="7681" width="2.33203125" customWidth="1"/>
    <col min="7682" max="7682" width="47.33203125" customWidth="1"/>
    <col min="7683" max="7683" width="14.6640625" bestFit="1" customWidth="1"/>
    <col min="7686" max="7686" width="4.44140625" customWidth="1"/>
    <col min="7690" max="7690" width="4.33203125" customWidth="1"/>
    <col min="7937" max="7937" width="2.33203125" customWidth="1"/>
    <col min="7938" max="7938" width="47.33203125" customWidth="1"/>
    <col min="7939" max="7939" width="14.6640625" bestFit="1" customWidth="1"/>
    <col min="7942" max="7942" width="4.44140625" customWidth="1"/>
    <col min="7946" max="7946" width="4.33203125" customWidth="1"/>
    <col min="8193" max="8193" width="2.33203125" customWidth="1"/>
    <col min="8194" max="8194" width="47.33203125" customWidth="1"/>
    <col min="8195" max="8195" width="14.6640625" bestFit="1" customWidth="1"/>
    <col min="8198" max="8198" width="4.44140625" customWidth="1"/>
    <col min="8202" max="8202" width="4.33203125" customWidth="1"/>
    <col min="8449" max="8449" width="2.33203125" customWidth="1"/>
    <col min="8450" max="8450" width="47.33203125" customWidth="1"/>
    <col min="8451" max="8451" width="14.6640625" bestFit="1" customWidth="1"/>
    <col min="8454" max="8454" width="4.44140625" customWidth="1"/>
    <col min="8458" max="8458" width="4.33203125" customWidth="1"/>
    <col min="8705" max="8705" width="2.33203125" customWidth="1"/>
    <col min="8706" max="8706" width="47.33203125" customWidth="1"/>
    <col min="8707" max="8707" width="14.6640625" bestFit="1" customWidth="1"/>
    <col min="8710" max="8710" width="4.44140625" customWidth="1"/>
    <col min="8714" max="8714" width="4.33203125" customWidth="1"/>
    <col min="8961" max="8961" width="2.33203125" customWidth="1"/>
    <col min="8962" max="8962" width="47.33203125" customWidth="1"/>
    <col min="8963" max="8963" width="14.6640625" bestFit="1" customWidth="1"/>
    <col min="8966" max="8966" width="4.44140625" customWidth="1"/>
    <col min="8970" max="8970" width="4.33203125" customWidth="1"/>
    <col min="9217" max="9217" width="2.33203125" customWidth="1"/>
    <col min="9218" max="9218" width="47.33203125" customWidth="1"/>
    <col min="9219" max="9219" width="14.6640625" bestFit="1" customWidth="1"/>
    <col min="9222" max="9222" width="4.44140625" customWidth="1"/>
    <col min="9226" max="9226" width="4.33203125" customWidth="1"/>
    <col min="9473" max="9473" width="2.33203125" customWidth="1"/>
    <col min="9474" max="9474" width="47.33203125" customWidth="1"/>
    <col min="9475" max="9475" width="14.6640625" bestFit="1" customWidth="1"/>
    <col min="9478" max="9478" width="4.44140625" customWidth="1"/>
    <col min="9482" max="9482" width="4.33203125" customWidth="1"/>
    <col min="9729" max="9729" width="2.33203125" customWidth="1"/>
    <col min="9730" max="9730" width="47.33203125" customWidth="1"/>
    <col min="9731" max="9731" width="14.6640625" bestFit="1" customWidth="1"/>
    <col min="9734" max="9734" width="4.44140625" customWidth="1"/>
    <col min="9738" max="9738" width="4.33203125" customWidth="1"/>
    <col min="9985" max="9985" width="2.33203125" customWidth="1"/>
    <col min="9986" max="9986" width="47.33203125" customWidth="1"/>
    <col min="9987" max="9987" width="14.6640625" bestFit="1" customWidth="1"/>
    <col min="9990" max="9990" width="4.44140625" customWidth="1"/>
    <col min="9994" max="9994" width="4.33203125" customWidth="1"/>
    <col min="10241" max="10241" width="2.33203125" customWidth="1"/>
    <col min="10242" max="10242" width="47.33203125" customWidth="1"/>
    <col min="10243" max="10243" width="14.6640625" bestFit="1" customWidth="1"/>
    <col min="10246" max="10246" width="4.44140625" customWidth="1"/>
    <col min="10250" max="10250" width="4.33203125" customWidth="1"/>
    <col min="10497" max="10497" width="2.33203125" customWidth="1"/>
    <col min="10498" max="10498" width="47.33203125" customWidth="1"/>
    <col min="10499" max="10499" width="14.6640625" bestFit="1" customWidth="1"/>
    <col min="10502" max="10502" width="4.44140625" customWidth="1"/>
    <col min="10506" max="10506" width="4.33203125" customWidth="1"/>
    <col min="10753" max="10753" width="2.33203125" customWidth="1"/>
    <col min="10754" max="10754" width="47.33203125" customWidth="1"/>
    <col min="10755" max="10755" width="14.6640625" bestFit="1" customWidth="1"/>
    <col min="10758" max="10758" width="4.44140625" customWidth="1"/>
    <col min="10762" max="10762" width="4.33203125" customWidth="1"/>
    <col min="11009" max="11009" width="2.33203125" customWidth="1"/>
    <col min="11010" max="11010" width="47.33203125" customWidth="1"/>
    <col min="11011" max="11011" width="14.6640625" bestFit="1" customWidth="1"/>
    <col min="11014" max="11014" width="4.44140625" customWidth="1"/>
    <col min="11018" max="11018" width="4.33203125" customWidth="1"/>
    <col min="11265" max="11265" width="2.33203125" customWidth="1"/>
    <col min="11266" max="11266" width="47.33203125" customWidth="1"/>
    <col min="11267" max="11267" width="14.6640625" bestFit="1" customWidth="1"/>
    <col min="11270" max="11270" width="4.44140625" customWidth="1"/>
    <col min="11274" max="11274" width="4.33203125" customWidth="1"/>
    <col min="11521" max="11521" width="2.33203125" customWidth="1"/>
    <col min="11522" max="11522" width="47.33203125" customWidth="1"/>
    <col min="11523" max="11523" width="14.6640625" bestFit="1" customWidth="1"/>
    <col min="11526" max="11526" width="4.44140625" customWidth="1"/>
    <col min="11530" max="11530" width="4.33203125" customWidth="1"/>
    <col min="11777" max="11777" width="2.33203125" customWidth="1"/>
    <col min="11778" max="11778" width="47.33203125" customWidth="1"/>
    <col min="11779" max="11779" width="14.6640625" bestFit="1" customWidth="1"/>
    <col min="11782" max="11782" width="4.44140625" customWidth="1"/>
    <col min="11786" max="11786" width="4.33203125" customWidth="1"/>
    <col min="12033" max="12033" width="2.33203125" customWidth="1"/>
    <col min="12034" max="12034" width="47.33203125" customWidth="1"/>
    <col min="12035" max="12035" width="14.6640625" bestFit="1" customWidth="1"/>
    <col min="12038" max="12038" width="4.44140625" customWidth="1"/>
    <col min="12042" max="12042" width="4.33203125" customWidth="1"/>
    <col min="12289" max="12289" width="2.33203125" customWidth="1"/>
    <col min="12290" max="12290" width="47.33203125" customWidth="1"/>
    <col min="12291" max="12291" width="14.6640625" bestFit="1" customWidth="1"/>
    <col min="12294" max="12294" width="4.44140625" customWidth="1"/>
    <col min="12298" max="12298" width="4.33203125" customWidth="1"/>
    <col min="12545" max="12545" width="2.33203125" customWidth="1"/>
    <col min="12546" max="12546" width="47.33203125" customWidth="1"/>
    <col min="12547" max="12547" width="14.6640625" bestFit="1" customWidth="1"/>
    <col min="12550" max="12550" width="4.44140625" customWidth="1"/>
    <col min="12554" max="12554" width="4.33203125" customWidth="1"/>
    <col min="12801" max="12801" width="2.33203125" customWidth="1"/>
    <col min="12802" max="12802" width="47.33203125" customWidth="1"/>
    <col min="12803" max="12803" width="14.6640625" bestFit="1" customWidth="1"/>
    <col min="12806" max="12806" width="4.44140625" customWidth="1"/>
    <col min="12810" max="12810" width="4.33203125" customWidth="1"/>
    <col min="13057" max="13057" width="2.33203125" customWidth="1"/>
    <col min="13058" max="13058" width="47.33203125" customWidth="1"/>
    <col min="13059" max="13059" width="14.6640625" bestFit="1" customWidth="1"/>
    <col min="13062" max="13062" width="4.44140625" customWidth="1"/>
    <col min="13066" max="13066" width="4.33203125" customWidth="1"/>
    <col min="13313" max="13313" width="2.33203125" customWidth="1"/>
    <col min="13314" max="13314" width="47.33203125" customWidth="1"/>
    <col min="13315" max="13315" width="14.6640625" bestFit="1" customWidth="1"/>
    <col min="13318" max="13318" width="4.44140625" customWidth="1"/>
    <col min="13322" max="13322" width="4.33203125" customWidth="1"/>
    <col min="13569" max="13569" width="2.33203125" customWidth="1"/>
    <col min="13570" max="13570" width="47.33203125" customWidth="1"/>
    <col min="13571" max="13571" width="14.6640625" bestFit="1" customWidth="1"/>
    <col min="13574" max="13574" width="4.44140625" customWidth="1"/>
    <col min="13578" max="13578" width="4.33203125" customWidth="1"/>
    <col min="13825" max="13825" width="2.33203125" customWidth="1"/>
    <col min="13826" max="13826" width="47.33203125" customWidth="1"/>
    <col min="13827" max="13827" width="14.6640625" bestFit="1" customWidth="1"/>
    <col min="13830" max="13830" width="4.44140625" customWidth="1"/>
    <col min="13834" max="13834" width="4.33203125" customWidth="1"/>
    <col min="14081" max="14081" width="2.33203125" customWidth="1"/>
    <col min="14082" max="14082" width="47.33203125" customWidth="1"/>
    <col min="14083" max="14083" width="14.6640625" bestFit="1" customWidth="1"/>
    <col min="14086" max="14086" width="4.44140625" customWidth="1"/>
    <col min="14090" max="14090" width="4.33203125" customWidth="1"/>
    <col min="14337" max="14337" width="2.33203125" customWidth="1"/>
    <col min="14338" max="14338" width="47.33203125" customWidth="1"/>
    <col min="14339" max="14339" width="14.6640625" bestFit="1" customWidth="1"/>
    <col min="14342" max="14342" width="4.44140625" customWidth="1"/>
    <col min="14346" max="14346" width="4.33203125" customWidth="1"/>
    <col min="14593" max="14593" width="2.33203125" customWidth="1"/>
    <col min="14594" max="14594" width="47.33203125" customWidth="1"/>
    <col min="14595" max="14595" width="14.6640625" bestFit="1" customWidth="1"/>
    <col min="14598" max="14598" width="4.44140625" customWidth="1"/>
    <col min="14602" max="14602" width="4.33203125" customWidth="1"/>
    <col min="14849" max="14849" width="2.33203125" customWidth="1"/>
    <col min="14850" max="14850" width="47.33203125" customWidth="1"/>
    <col min="14851" max="14851" width="14.6640625" bestFit="1" customWidth="1"/>
    <col min="14854" max="14854" width="4.44140625" customWidth="1"/>
    <col min="14858" max="14858" width="4.33203125" customWidth="1"/>
    <col min="15105" max="15105" width="2.33203125" customWidth="1"/>
    <col min="15106" max="15106" width="47.33203125" customWidth="1"/>
    <col min="15107" max="15107" width="14.6640625" bestFit="1" customWidth="1"/>
    <col min="15110" max="15110" width="4.44140625" customWidth="1"/>
    <col min="15114" max="15114" width="4.33203125" customWidth="1"/>
    <col min="15361" max="15361" width="2.33203125" customWidth="1"/>
    <col min="15362" max="15362" width="47.33203125" customWidth="1"/>
    <col min="15363" max="15363" width="14.6640625" bestFit="1" customWidth="1"/>
    <col min="15366" max="15366" width="4.44140625" customWidth="1"/>
    <col min="15370" max="15370" width="4.33203125" customWidth="1"/>
    <col min="15617" max="15617" width="2.33203125" customWidth="1"/>
    <col min="15618" max="15618" width="47.33203125" customWidth="1"/>
    <col min="15619" max="15619" width="14.6640625" bestFit="1" customWidth="1"/>
    <col min="15622" max="15622" width="4.44140625" customWidth="1"/>
    <col min="15626" max="15626" width="4.33203125" customWidth="1"/>
    <col min="15873" max="15873" width="2.33203125" customWidth="1"/>
    <col min="15874" max="15874" width="47.33203125" customWidth="1"/>
    <col min="15875" max="15875" width="14.6640625" bestFit="1" customWidth="1"/>
    <col min="15878" max="15878" width="4.44140625" customWidth="1"/>
    <col min="15882" max="15882" width="4.33203125" customWidth="1"/>
    <col min="16129" max="16129" width="2.33203125" customWidth="1"/>
    <col min="16130" max="16130" width="47.33203125" customWidth="1"/>
    <col min="16131" max="16131" width="14.6640625" bestFit="1" customWidth="1"/>
    <col min="16134" max="16134" width="4.44140625" customWidth="1"/>
    <col min="16138" max="16138" width="4.33203125" customWidth="1"/>
  </cols>
  <sheetData>
    <row r="2" spans="2:14" ht="15.6" x14ac:dyDescent="0.3">
      <c r="B2" s="180" t="s">
        <v>24</v>
      </c>
      <c r="C2" s="180"/>
      <c r="D2" s="180"/>
      <c r="E2" s="180"/>
    </row>
    <row r="3" spans="2:14" ht="15.6" x14ac:dyDescent="0.3">
      <c r="B3" s="180" t="s">
        <v>0</v>
      </c>
      <c r="C3" s="180"/>
      <c r="D3" s="180"/>
      <c r="E3" s="180"/>
    </row>
    <row r="4" spans="2:14" ht="15.6" x14ac:dyDescent="0.3">
      <c r="B4" s="180" t="s">
        <v>25</v>
      </c>
      <c r="C4" s="180"/>
      <c r="D4" s="180"/>
      <c r="E4" s="180"/>
    </row>
    <row r="5" spans="2:14" ht="15.6" thickBot="1" x14ac:dyDescent="0.35">
      <c r="B5" s="181" t="s">
        <v>26</v>
      </c>
      <c r="C5" s="181"/>
      <c r="D5" s="181"/>
      <c r="E5" s="181"/>
      <c r="F5" s="181"/>
    </row>
    <row r="6" spans="2:14" ht="15.6" thickBot="1" x14ac:dyDescent="0.35">
      <c r="B6" s="26"/>
      <c r="C6" s="27"/>
      <c r="D6" s="27"/>
      <c r="E6" s="27"/>
      <c r="F6" s="26"/>
      <c r="G6" s="182" t="s">
        <v>59</v>
      </c>
      <c r="H6" s="183"/>
      <c r="I6" s="184"/>
      <c r="K6" s="172" t="s">
        <v>60</v>
      </c>
      <c r="L6" s="173"/>
      <c r="M6" s="174"/>
      <c r="N6" s="175"/>
    </row>
    <row r="7" spans="2:14" ht="15.6" thickBot="1" x14ac:dyDescent="0.35">
      <c r="B7" s="26"/>
      <c r="C7" s="26"/>
      <c r="D7" s="26"/>
      <c r="E7" s="26"/>
      <c r="F7" s="26"/>
      <c r="G7" s="185"/>
      <c r="H7" s="186"/>
      <c r="I7" s="187"/>
      <c r="K7" s="176" t="s">
        <v>61</v>
      </c>
      <c r="L7" s="177"/>
      <c r="M7" s="178" t="s">
        <v>62</v>
      </c>
      <c r="N7" s="179"/>
    </row>
    <row r="8" spans="2:14" ht="16.2" thickBot="1" x14ac:dyDescent="0.35">
      <c r="B8" s="28"/>
      <c r="C8" s="7" t="s">
        <v>1</v>
      </c>
      <c r="D8" s="8" t="s">
        <v>2</v>
      </c>
      <c r="E8" s="9" t="s">
        <v>3</v>
      </c>
      <c r="G8" s="29" t="s">
        <v>1</v>
      </c>
      <c r="H8" s="30" t="s">
        <v>2</v>
      </c>
      <c r="I8" s="31" t="s">
        <v>3</v>
      </c>
      <c r="K8" s="32" t="s">
        <v>63</v>
      </c>
      <c r="L8" s="33" t="s">
        <v>64</v>
      </c>
      <c r="M8" s="32" t="s">
        <v>63</v>
      </c>
      <c r="N8" s="34" t="s">
        <v>64</v>
      </c>
    </row>
    <row r="9" spans="2:14" ht="15.6" thickTop="1" x14ac:dyDescent="0.3">
      <c r="B9" s="35" t="s">
        <v>27</v>
      </c>
      <c r="C9" s="36">
        <f>DATOS!C31</f>
        <v>16980</v>
      </c>
      <c r="D9" s="36">
        <f>DATOS!D31</f>
        <v>21980</v>
      </c>
      <c r="E9" s="36">
        <f>DATOS!E31</f>
        <v>30250</v>
      </c>
      <c r="G9" s="203">
        <v>1</v>
      </c>
      <c r="H9" s="203">
        <v>1</v>
      </c>
      <c r="I9" s="203">
        <v>1</v>
      </c>
      <c r="K9" s="38">
        <f>D9-C9</f>
        <v>5000</v>
      </c>
      <c r="L9" s="39">
        <f>+K9/C9</f>
        <v>0.29446407538280328</v>
      </c>
      <c r="M9" s="38">
        <f>E9-D9</f>
        <v>8270</v>
      </c>
      <c r="N9" s="40">
        <f>+M9/D9</f>
        <v>0.37625113739763422</v>
      </c>
    </row>
    <row r="10" spans="2:14" ht="15.6" thickBot="1" x14ac:dyDescent="0.35">
      <c r="B10" s="35" t="s">
        <v>28</v>
      </c>
      <c r="C10" s="41">
        <f>DATOS!C30</f>
        <v>10685</v>
      </c>
      <c r="D10" s="41">
        <f>DATOS!D30</f>
        <v>13445</v>
      </c>
      <c r="E10" s="41">
        <f>DATOS!E30</f>
        <v>19610</v>
      </c>
      <c r="G10" s="37">
        <f>+C10/$C$9</f>
        <v>0.62926972909305068</v>
      </c>
      <c r="H10" s="37">
        <f>+D10/$D$9</f>
        <v>0.61169244767970887</v>
      </c>
      <c r="I10" s="37">
        <f>+E10/$E$9</f>
        <v>0.64826446280991734</v>
      </c>
      <c r="K10" s="38">
        <f>D10-C10</f>
        <v>2760</v>
      </c>
      <c r="L10" s="39">
        <f t="shared" ref="L10:L18" si="0">+K10/C10</f>
        <v>0.25830603649976602</v>
      </c>
      <c r="M10" s="38">
        <f t="shared" ref="M10:M18" si="1">E10-D10</f>
        <v>6165</v>
      </c>
      <c r="N10" s="40">
        <f t="shared" ref="N10:N18" si="2">+M10/D10</f>
        <v>0.45853477129044257</v>
      </c>
    </row>
    <row r="11" spans="2:14" ht="16.2" thickTop="1" x14ac:dyDescent="0.3">
      <c r="B11" s="42" t="s">
        <v>29</v>
      </c>
      <c r="C11" s="36">
        <f>C9-C10</f>
        <v>6295</v>
      </c>
      <c r="D11" s="36">
        <f t="shared" ref="D11:E11" si="3">D9-D10</f>
        <v>8535</v>
      </c>
      <c r="E11" s="36">
        <f t="shared" si="3"/>
        <v>10640</v>
      </c>
      <c r="G11" s="203">
        <v>2</v>
      </c>
      <c r="H11" s="54">
        <f t="shared" ref="H11:H18" si="4">+D11/$D$9</f>
        <v>0.38830755232029118</v>
      </c>
      <c r="I11" s="37">
        <f t="shared" ref="I11:I18" si="5">+E11/$E$9</f>
        <v>0.35173553719008266</v>
      </c>
      <c r="K11" s="38">
        <f>D11-C11</f>
        <v>2240</v>
      </c>
      <c r="L11" s="39">
        <f t="shared" si="0"/>
        <v>0.35583796664019063</v>
      </c>
      <c r="M11" s="38">
        <f t="shared" si="1"/>
        <v>2105</v>
      </c>
      <c r="N11" s="40">
        <f t="shared" si="2"/>
        <v>0.2466315172817809</v>
      </c>
    </row>
    <row r="12" spans="2:14" ht="15" x14ac:dyDescent="0.3">
      <c r="B12" s="35" t="s">
        <v>30</v>
      </c>
      <c r="C12" s="36">
        <f>'ESTADO DE RESULTADOS'!D16</f>
        <v>2090</v>
      </c>
      <c r="D12" s="36">
        <f>'ESTADO DE RESULTADOS'!E16</f>
        <v>2555</v>
      </c>
      <c r="E12" s="36">
        <f>'ESTADO DE RESULTADOS'!F16</f>
        <v>3275</v>
      </c>
      <c r="G12" s="37">
        <f t="shared" ref="G12:G18" si="6">+C12/$C$9</f>
        <v>0.12308598351001178</v>
      </c>
      <c r="H12" s="54">
        <f t="shared" si="4"/>
        <v>0.11624203821656051</v>
      </c>
      <c r="I12" s="37">
        <f t="shared" si="5"/>
        <v>0.10826446280991736</v>
      </c>
      <c r="K12" s="38">
        <f t="shared" ref="K10:K18" si="7">D12-C12</f>
        <v>465</v>
      </c>
      <c r="L12" s="39">
        <f t="shared" si="0"/>
        <v>0.22248803827751196</v>
      </c>
      <c r="M12" s="38">
        <f t="shared" si="1"/>
        <v>720</v>
      </c>
      <c r="N12" s="40">
        <f t="shared" si="2"/>
        <v>0.28180039138943247</v>
      </c>
    </row>
    <row r="13" spans="2:14" ht="15.6" thickBot="1" x14ac:dyDescent="0.35">
      <c r="B13" s="35" t="s">
        <v>65</v>
      </c>
      <c r="C13" s="41">
        <f>'ESTADO DE RESULTADOS'!D17</f>
        <v>3250</v>
      </c>
      <c r="D13" s="41">
        <f>'ESTADO DE RESULTADOS'!E17</f>
        <v>4090</v>
      </c>
      <c r="E13" s="41">
        <f>'ESTADO DE RESULTADOS'!F17</f>
        <v>4905</v>
      </c>
      <c r="G13" s="203">
        <v>3</v>
      </c>
      <c r="H13" s="54">
        <f t="shared" si="4"/>
        <v>0.18607825295723385</v>
      </c>
      <c r="I13" s="37">
        <f t="shared" si="5"/>
        <v>0.16214876033057851</v>
      </c>
      <c r="K13" s="38">
        <f t="shared" si="7"/>
        <v>840</v>
      </c>
      <c r="L13" s="39">
        <f t="shared" si="0"/>
        <v>0.25846153846153846</v>
      </c>
      <c r="M13" s="38">
        <f t="shared" si="1"/>
        <v>815</v>
      </c>
      <c r="N13" s="40">
        <f t="shared" si="2"/>
        <v>0.19926650366748166</v>
      </c>
    </row>
    <row r="14" spans="2:14" ht="16.2" thickTop="1" x14ac:dyDescent="0.3">
      <c r="B14" s="42" t="s">
        <v>32</v>
      </c>
      <c r="C14" s="36">
        <f>C11-C12-C13</f>
        <v>955</v>
      </c>
      <c r="D14" s="36">
        <f t="shared" ref="D14:E14" si="8">D11-D12-D13</f>
        <v>1890</v>
      </c>
      <c r="E14" s="36">
        <f t="shared" si="8"/>
        <v>2460</v>
      </c>
      <c r="G14" s="37">
        <f t="shared" ref="G14:G18" si="9">+C14/$C$9</f>
        <v>5.6242638398115427E-2</v>
      </c>
      <c r="H14" s="54">
        <f t="shared" si="4"/>
        <v>8.598726114649681E-2</v>
      </c>
      <c r="I14" s="37">
        <f t="shared" si="5"/>
        <v>8.1322314049586772E-2</v>
      </c>
      <c r="K14" s="38">
        <f t="shared" si="7"/>
        <v>935</v>
      </c>
      <c r="L14" s="39">
        <f t="shared" si="0"/>
        <v>0.97905759162303663</v>
      </c>
      <c r="M14" s="38">
        <f t="shared" si="1"/>
        <v>570</v>
      </c>
      <c r="N14" s="40">
        <f t="shared" si="2"/>
        <v>0.30158730158730157</v>
      </c>
    </row>
    <row r="15" spans="2:14" ht="15.6" thickBot="1" x14ac:dyDescent="0.35">
      <c r="B15" s="35" t="s">
        <v>33</v>
      </c>
      <c r="C15" s="41">
        <f>'ESTADO DE RESULTADOS'!D19</f>
        <v>270</v>
      </c>
      <c r="D15" s="41">
        <f>'ESTADO DE RESULTADOS'!E19</f>
        <v>443.49</v>
      </c>
      <c r="E15" s="41">
        <f>'ESTADO DE RESULTADOS'!F19</f>
        <v>877.86000000000013</v>
      </c>
      <c r="G15" s="203">
        <v>4</v>
      </c>
      <c r="H15" s="54">
        <f t="shared" si="4"/>
        <v>2.0176979071883532E-2</v>
      </c>
      <c r="I15" s="37">
        <f t="shared" si="5"/>
        <v>2.9020165289256203E-2</v>
      </c>
      <c r="K15" s="38">
        <f t="shared" si="7"/>
        <v>173.49</v>
      </c>
      <c r="L15" s="39">
        <f t="shared" si="0"/>
        <v>0.64255555555555555</v>
      </c>
      <c r="M15" s="38">
        <f t="shared" si="1"/>
        <v>434.37000000000012</v>
      </c>
      <c r="N15" s="40">
        <f t="shared" si="2"/>
        <v>0.97943583846309978</v>
      </c>
    </row>
    <row r="16" spans="2:14" ht="16.2" thickTop="1" x14ac:dyDescent="0.3">
      <c r="B16" s="42" t="s">
        <v>34</v>
      </c>
      <c r="C16" s="36">
        <f>C14-C15</f>
        <v>685</v>
      </c>
      <c r="D16" s="36">
        <f t="shared" ref="D16:E16" si="10">D14-D15</f>
        <v>1446.51</v>
      </c>
      <c r="E16" s="36">
        <f t="shared" si="10"/>
        <v>1582.1399999999999</v>
      </c>
      <c r="G16" s="37">
        <f t="shared" ref="G16:G18" si="11">+C16/$C$9</f>
        <v>4.0341578327444054E-2</v>
      </c>
      <c r="H16" s="54">
        <f t="shared" si="4"/>
        <v>6.5810282074613285E-2</v>
      </c>
      <c r="I16" s="37">
        <f t="shared" si="5"/>
        <v>5.2302148760330576E-2</v>
      </c>
      <c r="K16" s="38">
        <f t="shared" si="7"/>
        <v>761.51</v>
      </c>
      <c r="L16" s="39">
        <f t="shared" si="0"/>
        <v>1.1116934306569344</v>
      </c>
      <c r="M16" s="38">
        <f t="shared" si="1"/>
        <v>135.62999999999988</v>
      </c>
      <c r="N16" s="40">
        <f t="shared" si="2"/>
        <v>9.3763610344899023E-2</v>
      </c>
    </row>
    <row r="17" spans="2:14" ht="15.6" thickBot="1" x14ac:dyDescent="0.35">
      <c r="B17" s="35" t="s">
        <v>35</v>
      </c>
      <c r="C17" s="41">
        <f>'ESTADO DE RESULTADOS'!D21</f>
        <v>232.9</v>
      </c>
      <c r="D17" s="41">
        <f>'ESTADO DE RESULTADOS'!E21</f>
        <v>491.81340000000006</v>
      </c>
      <c r="E17" s="41">
        <f>'ESTADO DE RESULTADOS'!F21</f>
        <v>522.10619999999994</v>
      </c>
      <c r="G17" s="203">
        <v>5</v>
      </c>
      <c r="H17" s="54">
        <f t="shared" si="4"/>
        <v>2.2375495905368518E-2</v>
      </c>
      <c r="I17" s="37">
        <f t="shared" si="5"/>
        <v>1.7259709090909087E-2</v>
      </c>
      <c r="K17" s="38">
        <f t="shared" si="7"/>
        <v>258.91340000000002</v>
      </c>
      <c r="L17" s="39">
        <f t="shared" si="0"/>
        <v>1.1116934306569344</v>
      </c>
      <c r="M17" s="38">
        <f t="shared" si="1"/>
        <v>30.292799999999886</v>
      </c>
      <c r="N17" s="40">
        <f t="shared" si="2"/>
        <v>6.1594092393578298E-2</v>
      </c>
    </row>
    <row r="18" spans="2:14" ht="16.8" thickTop="1" thickBot="1" x14ac:dyDescent="0.35">
      <c r="B18" s="42" t="s">
        <v>36</v>
      </c>
      <c r="C18" s="43">
        <f>C16-C17</f>
        <v>452.1</v>
      </c>
      <c r="D18" s="43">
        <f t="shared" ref="D18:E18" si="12">D16-D17</f>
        <v>954.69659999999999</v>
      </c>
      <c r="E18" s="43">
        <f t="shared" si="12"/>
        <v>1060.0337999999999</v>
      </c>
      <c r="G18" s="37">
        <f t="shared" ref="G18" si="13">+C18/$C$9</f>
        <v>2.6625441696113077E-2</v>
      </c>
      <c r="H18" s="54">
        <f t="shared" si="4"/>
        <v>4.3434786169244767E-2</v>
      </c>
      <c r="I18" s="37">
        <f t="shared" si="5"/>
        <v>3.5042439669421485E-2</v>
      </c>
      <c r="K18" s="44">
        <f t="shared" si="7"/>
        <v>502.59659999999997</v>
      </c>
      <c r="L18" s="45">
        <f t="shared" si="0"/>
        <v>1.1116934306569342</v>
      </c>
      <c r="M18" s="44">
        <f t="shared" si="1"/>
        <v>105.33719999999994</v>
      </c>
      <c r="N18" s="45">
        <f t="shared" si="2"/>
        <v>0.1103357862592157</v>
      </c>
    </row>
    <row r="19" spans="2:14" ht="15.6" thickTop="1" x14ac:dyDescent="0.3">
      <c r="B19" s="28"/>
      <c r="C19" s="28"/>
      <c r="D19" s="28"/>
      <c r="E19" s="28"/>
      <c r="G19" s="28"/>
      <c r="H19" s="28"/>
      <c r="I19" s="28"/>
      <c r="K19" s="28"/>
      <c r="L19" s="28"/>
      <c r="M19" s="28"/>
      <c r="N19" s="28"/>
    </row>
    <row r="20" spans="2:14" x14ac:dyDescent="0.3">
      <c r="B20" s="24"/>
      <c r="C20" s="21"/>
      <c r="D20" s="21"/>
      <c r="E20" s="21"/>
      <c r="G20" s="21"/>
      <c r="H20" s="21"/>
      <c r="I20" s="21"/>
      <c r="K20" s="21"/>
      <c r="L20" s="21"/>
      <c r="M20" s="21"/>
      <c r="N20" s="21"/>
    </row>
    <row r="21" spans="2:14" x14ac:dyDescent="0.3">
      <c r="B21" s="24"/>
      <c r="C21" s="25"/>
      <c r="D21" s="21"/>
      <c r="E21" s="21"/>
      <c r="G21" s="25"/>
      <c r="H21" s="21"/>
      <c r="I21" s="21"/>
      <c r="K21" s="25"/>
      <c r="L21" s="21"/>
      <c r="M21" s="21"/>
      <c r="N21" s="25"/>
    </row>
    <row r="22" spans="2:14" x14ac:dyDescent="0.3">
      <c r="B22" s="24"/>
      <c r="C22" s="25"/>
      <c r="D22" s="21"/>
      <c r="E22" s="21"/>
      <c r="G22" s="25"/>
      <c r="H22" s="21"/>
      <c r="I22" s="21"/>
      <c r="K22" s="25"/>
      <c r="L22" s="21"/>
      <c r="M22" s="21"/>
      <c r="N22" s="25"/>
    </row>
    <row r="23" spans="2:14" x14ac:dyDescent="0.3">
      <c r="B23" s="24"/>
      <c r="C23" s="25"/>
      <c r="D23" s="21"/>
      <c r="E23" s="21"/>
      <c r="G23" s="25"/>
      <c r="H23" s="21"/>
      <c r="I23" s="21"/>
    </row>
    <row r="24" spans="2:14" x14ac:dyDescent="0.3">
      <c r="B24" s="24"/>
      <c r="C24" s="25"/>
      <c r="D24" s="21"/>
      <c r="E24" s="21"/>
      <c r="G24" s="25"/>
      <c r="H24" s="21"/>
      <c r="I24" s="21"/>
    </row>
  </sheetData>
  <mergeCells count="8">
    <mergeCell ref="K6:N6"/>
    <mergeCell ref="K7:L7"/>
    <mergeCell ref="M7:N7"/>
    <mergeCell ref="B2:E2"/>
    <mergeCell ref="B3:E3"/>
    <mergeCell ref="B4:E4"/>
    <mergeCell ref="B5:F5"/>
    <mergeCell ref="G6:I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B1:N63"/>
  <sheetViews>
    <sheetView tabSelected="1" topLeftCell="A14" workbookViewId="0">
      <selection activeCell="N17" sqref="N17"/>
    </sheetView>
  </sheetViews>
  <sheetFormatPr baseColWidth="10" defaultRowHeight="14.4" x14ac:dyDescent="0.3"/>
  <cols>
    <col min="2" max="2" width="45.109375" customWidth="1"/>
    <col min="6" max="6" width="5.109375" customWidth="1"/>
    <col min="10" max="10" width="6.109375" customWidth="1"/>
    <col min="14" max="14" width="14.6640625" bestFit="1" customWidth="1"/>
    <col min="258" max="258" width="45.109375" customWidth="1"/>
    <col min="262" max="262" width="5.109375" customWidth="1"/>
    <col min="266" max="266" width="6.109375" customWidth="1"/>
    <col min="270" max="270" width="14.6640625" bestFit="1" customWidth="1"/>
    <col min="514" max="514" width="45.109375" customWidth="1"/>
    <col min="518" max="518" width="5.109375" customWidth="1"/>
    <col min="522" max="522" width="6.109375" customWidth="1"/>
    <col min="526" max="526" width="14.6640625" bestFit="1" customWidth="1"/>
    <col min="770" max="770" width="45.109375" customWidth="1"/>
    <col min="774" max="774" width="5.109375" customWidth="1"/>
    <col min="778" max="778" width="6.109375" customWidth="1"/>
    <col min="782" max="782" width="14.6640625" bestFit="1" customWidth="1"/>
    <col min="1026" max="1026" width="45.109375" customWidth="1"/>
    <col min="1030" max="1030" width="5.109375" customWidth="1"/>
    <col min="1034" max="1034" width="6.109375" customWidth="1"/>
    <col min="1038" max="1038" width="14.6640625" bestFit="1" customWidth="1"/>
    <col min="1282" max="1282" width="45.109375" customWidth="1"/>
    <col min="1286" max="1286" width="5.109375" customWidth="1"/>
    <col min="1290" max="1290" width="6.109375" customWidth="1"/>
    <col min="1294" max="1294" width="14.6640625" bestFit="1" customWidth="1"/>
    <col min="1538" max="1538" width="45.109375" customWidth="1"/>
    <col min="1542" max="1542" width="5.109375" customWidth="1"/>
    <col min="1546" max="1546" width="6.109375" customWidth="1"/>
    <col min="1550" max="1550" width="14.6640625" bestFit="1" customWidth="1"/>
    <col min="1794" max="1794" width="45.109375" customWidth="1"/>
    <col min="1798" max="1798" width="5.109375" customWidth="1"/>
    <col min="1802" max="1802" width="6.109375" customWidth="1"/>
    <col min="1806" max="1806" width="14.6640625" bestFit="1" customWidth="1"/>
    <col min="2050" max="2050" width="45.109375" customWidth="1"/>
    <col min="2054" max="2054" width="5.109375" customWidth="1"/>
    <col min="2058" max="2058" width="6.109375" customWidth="1"/>
    <col min="2062" max="2062" width="14.6640625" bestFit="1" customWidth="1"/>
    <col min="2306" max="2306" width="45.109375" customWidth="1"/>
    <col min="2310" max="2310" width="5.109375" customWidth="1"/>
    <col min="2314" max="2314" width="6.109375" customWidth="1"/>
    <col min="2318" max="2318" width="14.6640625" bestFit="1" customWidth="1"/>
    <col min="2562" max="2562" width="45.109375" customWidth="1"/>
    <col min="2566" max="2566" width="5.109375" customWidth="1"/>
    <col min="2570" max="2570" width="6.109375" customWidth="1"/>
    <col min="2574" max="2574" width="14.6640625" bestFit="1" customWidth="1"/>
    <col min="2818" max="2818" width="45.109375" customWidth="1"/>
    <col min="2822" max="2822" width="5.109375" customWidth="1"/>
    <col min="2826" max="2826" width="6.109375" customWidth="1"/>
    <col min="2830" max="2830" width="14.6640625" bestFit="1" customWidth="1"/>
    <col min="3074" max="3074" width="45.109375" customWidth="1"/>
    <col min="3078" max="3078" width="5.109375" customWidth="1"/>
    <col min="3082" max="3082" width="6.109375" customWidth="1"/>
    <col min="3086" max="3086" width="14.6640625" bestFit="1" customWidth="1"/>
    <col min="3330" max="3330" width="45.109375" customWidth="1"/>
    <col min="3334" max="3334" width="5.109375" customWidth="1"/>
    <col min="3338" max="3338" width="6.109375" customWidth="1"/>
    <col min="3342" max="3342" width="14.6640625" bestFit="1" customWidth="1"/>
    <col min="3586" max="3586" width="45.109375" customWidth="1"/>
    <col min="3590" max="3590" width="5.109375" customWidth="1"/>
    <col min="3594" max="3594" width="6.109375" customWidth="1"/>
    <col min="3598" max="3598" width="14.6640625" bestFit="1" customWidth="1"/>
    <col min="3842" max="3842" width="45.109375" customWidth="1"/>
    <col min="3846" max="3846" width="5.109375" customWidth="1"/>
    <col min="3850" max="3850" width="6.109375" customWidth="1"/>
    <col min="3854" max="3854" width="14.6640625" bestFit="1" customWidth="1"/>
    <col min="4098" max="4098" width="45.109375" customWidth="1"/>
    <col min="4102" max="4102" width="5.109375" customWidth="1"/>
    <col min="4106" max="4106" width="6.109375" customWidth="1"/>
    <col min="4110" max="4110" width="14.6640625" bestFit="1" customWidth="1"/>
    <col min="4354" max="4354" width="45.109375" customWidth="1"/>
    <col min="4358" max="4358" width="5.109375" customWidth="1"/>
    <col min="4362" max="4362" width="6.109375" customWidth="1"/>
    <col min="4366" max="4366" width="14.6640625" bestFit="1" customWidth="1"/>
    <col min="4610" max="4610" width="45.109375" customWidth="1"/>
    <col min="4614" max="4614" width="5.109375" customWidth="1"/>
    <col min="4618" max="4618" width="6.109375" customWidth="1"/>
    <col min="4622" max="4622" width="14.6640625" bestFit="1" customWidth="1"/>
    <col min="4866" max="4866" width="45.109375" customWidth="1"/>
    <col min="4870" max="4870" width="5.109375" customWidth="1"/>
    <col min="4874" max="4874" width="6.109375" customWidth="1"/>
    <col min="4878" max="4878" width="14.6640625" bestFit="1" customWidth="1"/>
    <col min="5122" max="5122" width="45.109375" customWidth="1"/>
    <col min="5126" max="5126" width="5.109375" customWidth="1"/>
    <col min="5130" max="5130" width="6.109375" customWidth="1"/>
    <col min="5134" max="5134" width="14.6640625" bestFit="1" customWidth="1"/>
    <col min="5378" max="5378" width="45.109375" customWidth="1"/>
    <col min="5382" max="5382" width="5.109375" customWidth="1"/>
    <col min="5386" max="5386" width="6.109375" customWidth="1"/>
    <col min="5390" max="5390" width="14.6640625" bestFit="1" customWidth="1"/>
    <col min="5634" max="5634" width="45.109375" customWidth="1"/>
    <col min="5638" max="5638" width="5.109375" customWidth="1"/>
    <col min="5642" max="5642" width="6.109375" customWidth="1"/>
    <col min="5646" max="5646" width="14.6640625" bestFit="1" customWidth="1"/>
    <col min="5890" max="5890" width="45.109375" customWidth="1"/>
    <col min="5894" max="5894" width="5.109375" customWidth="1"/>
    <col min="5898" max="5898" width="6.109375" customWidth="1"/>
    <col min="5902" max="5902" width="14.6640625" bestFit="1" customWidth="1"/>
    <col min="6146" max="6146" width="45.109375" customWidth="1"/>
    <col min="6150" max="6150" width="5.109375" customWidth="1"/>
    <col min="6154" max="6154" width="6.109375" customWidth="1"/>
    <col min="6158" max="6158" width="14.6640625" bestFit="1" customWidth="1"/>
    <col min="6402" max="6402" width="45.109375" customWidth="1"/>
    <col min="6406" max="6406" width="5.109375" customWidth="1"/>
    <col min="6410" max="6410" width="6.109375" customWidth="1"/>
    <col min="6414" max="6414" width="14.6640625" bestFit="1" customWidth="1"/>
    <col min="6658" max="6658" width="45.109375" customWidth="1"/>
    <col min="6662" max="6662" width="5.109375" customWidth="1"/>
    <col min="6666" max="6666" width="6.109375" customWidth="1"/>
    <col min="6670" max="6670" width="14.6640625" bestFit="1" customWidth="1"/>
    <col min="6914" max="6914" width="45.109375" customWidth="1"/>
    <col min="6918" max="6918" width="5.109375" customWidth="1"/>
    <col min="6922" max="6922" width="6.109375" customWidth="1"/>
    <col min="6926" max="6926" width="14.6640625" bestFit="1" customWidth="1"/>
    <col min="7170" max="7170" width="45.109375" customWidth="1"/>
    <col min="7174" max="7174" width="5.109375" customWidth="1"/>
    <col min="7178" max="7178" width="6.109375" customWidth="1"/>
    <col min="7182" max="7182" width="14.6640625" bestFit="1" customWidth="1"/>
    <col min="7426" max="7426" width="45.109375" customWidth="1"/>
    <col min="7430" max="7430" width="5.109375" customWidth="1"/>
    <col min="7434" max="7434" width="6.109375" customWidth="1"/>
    <col min="7438" max="7438" width="14.6640625" bestFit="1" customWidth="1"/>
    <col min="7682" max="7682" width="45.109375" customWidth="1"/>
    <col min="7686" max="7686" width="5.109375" customWidth="1"/>
    <col min="7690" max="7690" width="6.109375" customWidth="1"/>
    <col min="7694" max="7694" width="14.6640625" bestFit="1" customWidth="1"/>
    <col min="7938" max="7938" width="45.109375" customWidth="1"/>
    <col min="7942" max="7942" width="5.109375" customWidth="1"/>
    <col min="7946" max="7946" width="6.109375" customWidth="1"/>
    <col min="7950" max="7950" width="14.6640625" bestFit="1" customWidth="1"/>
    <col min="8194" max="8194" width="45.109375" customWidth="1"/>
    <col min="8198" max="8198" width="5.109375" customWidth="1"/>
    <col min="8202" max="8202" width="6.109375" customWidth="1"/>
    <col min="8206" max="8206" width="14.6640625" bestFit="1" customWidth="1"/>
    <col min="8450" max="8450" width="45.109375" customWidth="1"/>
    <col min="8454" max="8454" width="5.109375" customWidth="1"/>
    <col min="8458" max="8458" width="6.109375" customWidth="1"/>
    <col min="8462" max="8462" width="14.6640625" bestFit="1" customWidth="1"/>
    <col min="8706" max="8706" width="45.109375" customWidth="1"/>
    <col min="8710" max="8710" width="5.109375" customWidth="1"/>
    <col min="8714" max="8714" width="6.109375" customWidth="1"/>
    <col min="8718" max="8718" width="14.6640625" bestFit="1" customWidth="1"/>
    <col min="8962" max="8962" width="45.109375" customWidth="1"/>
    <col min="8966" max="8966" width="5.109375" customWidth="1"/>
    <col min="8970" max="8970" width="6.109375" customWidth="1"/>
    <col min="8974" max="8974" width="14.6640625" bestFit="1" customWidth="1"/>
    <col min="9218" max="9218" width="45.109375" customWidth="1"/>
    <col min="9222" max="9222" width="5.109375" customWidth="1"/>
    <col min="9226" max="9226" width="6.109375" customWidth="1"/>
    <col min="9230" max="9230" width="14.6640625" bestFit="1" customWidth="1"/>
    <col min="9474" max="9474" width="45.109375" customWidth="1"/>
    <col min="9478" max="9478" width="5.109375" customWidth="1"/>
    <col min="9482" max="9482" width="6.109375" customWidth="1"/>
    <col min="9486" max="9486" width="14.6640625" bestFit="1" customWidth="1"/>
    <col min="9730" max="9730" width="45.109375" customWidth="1"/>
    <col min="9734" max="9734" width="5.109375" customWidth="1"/>
    <col min="9738" max="9738" width="6.109375" customWidth="1"/>
    <col min="9742" max="9742" width="14.6640625" bestFit="1" customWidth="1"/>
    <col min="9986" max="9986" width="45.109375" customWidth="1"/>
    <col min="9990" max="9990" width="5.109375" customWidth="1"/>
    <col min="9994" max="9994" width="6.109375" customWidth="1"/>
    <col min="9998" max="9998" width="14.6640625" bestFit="1" customWidth="1"/>
    <col min="10242" max="10242" width="45.109375" customWidth="1"/>
    <col min="10246" max="10246" width="5.109375" customWidth="1"/>
    <col min="10250" max="10250" width="6.109375" customWidth="1"/>
    <col min="10254" max="10254" width="14.6640625" bestFit="1" customWidth="1"/>
    <col min="10498" max="10498" width="45.109375" customWidth="1"/>
    <col min="10502" max="10502" width="5.109375" customWidth="1"/>
    <col min="10506" max="10506" width="6.109375" customWidth="1"/>
    <col min="10510" max="10510" width="14.6640625" bestFit="1" customWidth="1"/>
    <col min="10754" max="10754" width="45.109375" customWidth="1"/>
    <col min="10758" max="10758" width="5.109375" customWidth="1"/>
    <col min="10762" max="10762" width="6.109375" customWidth="1"/>
    <col min="10766" max="10766" width="14.6640625" bestFit="1" customWidth="1"/>
    <col min="11010" max="11010" width="45.109375" customWidth="1"/>
    <col min="11014" max="11014" width="5.109375" customWidth="1"/>
    <col min="11018" max="11018" width="6.109375" customWidth="1"/>
    <col min="11022" max="11022" width="14.6640625" bestFit="1" customWidth="1"/>
    <col min="11266" max="11266" width="45.109375" customWidth="1"/>
    <col min="11270" max="11270" width="5.109375" customWidth="1"/>
    <col min="11274" max="11274" width="6.109375" customWidth="1"/>
    <col min="11278" max="11278" width="14.6640625" bestFit="1" customWidth="1"/>
    <col min="11522" max="11522" width="45.109375" customWidth="1"/>
    <col min="11526" max="11526" width="5.109375" customWidth="1"/>
    <col min="11530" max="11530" width="6.109375" customWidth="1"/>
    <col min="11534" max="11534" width="14.6640625" bestFit="1" customWidth="1"/>
    <col min="11778" max="11778" width="45.109375" customWidth="1"/>
    <col min="11782" max="11782" width="5.109375" customWidth="1"/>
    <col min="11786" max="11786" width="6.109375" customWidth="1"/>
    <col min="11790" max="11790" width="14.6640625" bestFit="1" customWidth="1"/>
    <col min="12034" max="12034" width="45.109375" customWidth="1"/>
    <col min="12038" max="12038" width="5.109375" customWidth="1"/>
    <col min="12042" max="12042" width="6.109375" customWidth="1"/>
    <col min="12046" max="12046" width="14.6640625" bestFit="1" customWidth="1"/>
    <col min="12290" max="12290" width="45.109375" customWidth="1"/>
    <col min="12294" max="12294" width="5.109375" customWidth="1"/>
    <col min="12298" max="12298" width="6.109375" customWidth="1"/>
    <col min="12302" max="12302" width="14.6640625" bestFit="1" customWidth="1"/>
    <col min="12546" max="12546" width="45.109375" customWidth="1"/>
    <col min="12550" max="12550" width="5.109375" customWidth="1"/>
    <col min="12554" max="12554" width="6.109375" customWidth="1"/>
    <col min="12558" max="12558" width="14.6640625" bestFit="1" customWidth="1"/>
    <col min="12802" max="12802" width="45.109375" customWidth="1"/>
    <col min="12806" max="12806" width="5.109375" customWidth="1"/>
    <col min="12810" max="12810" width="6.109375" customWidth="1"/>
    <col min="12814" max="12814" width="14.6640625" bestFit="1" customWidth="1"/>
    <col min="13058" max="13058" width="45.109375" customWidth="1"/>
    <col min="13062" max="13062" width="5.109375" customWidth="1"/>
    <col min="13066" max="13066" width="6.109375" customWidth="1"/>
    <col min="13070" max="13070" width="14.6640625" bestFit="1" customWidth="1"/>
    <col min="13314" max="13314" width="45.109375" customWidth="1"/>
    <col min="13318" max="13318" width="5.109375" customWidth="1"/>
    <col min="13322" max="13322" width="6.109375" customWidth="1"/>
    <col min="13326" max="13326" width="14.6640625" bestFit="1" customWidth="1"/>
    <col min="13570" max="13570" width="45.109375" customWidth="1"/>
    <col min="13574" max="13574" width="5.109375" customWidth="1"/>
    <col min="13578" max="13578" width="6.109375" customWidth="1"/>
    <col min="13582" max="13582" width="14.6640625" bestFit="1" customWidth="1"/>
    <col min="13826" max="13826" width="45.109375" customWidth="1"/>
    <col min="13830" max="13830" width="5.109375" customWidth="1"/>
    <col min="13834" max="13834" width="6.109375" customWidth="1"/>
    <col min="13838" max="13838" width="14.6640625" bestFit="1" customWidth="1"/>
    <col min="14082" max="14082" width="45.109375" customWidth="1"/>
    <col min="14086" max="14086" width="5.109375" customWidth="1"/>
    <col min="14090" max="14090" width="6.109375" customWidth="1"/>
    <col min="14094" max="14094" width="14.6640625" bestFit="1" customWidth="1"/>
    <col min="14338" max="14338" width="45.109375" customWidth="1"/>
    <col min="14342" max="14342" width="5.109375" customWidth="1"/>
    <col min="14346" max="14346" width="6.109375" customWidth="1"/>
    <col min="14350" max="14350" width="14.6640625" bestFit="1" customWidth="1"/>
    <col min="14594" max="14594" width="45.109375" customWidth="1"/>
    <col min="14598" max="14598" width="5.109375" customWidth="1"/>
    <col min="14602" max="14602" width="6.109375" customWidth="1"/>
    <col min="14606" max="14606" width="14.6640625" bestFit="1" customWidth="1"/>
    <col min="14850" max="14850" width="45.109375" customWidth="1"/>
    <col min="14854" max="14854" width="5.109375" customWidth="1"/>
    <col min="14858" max="14858" width="6.109375" customWidth="1"/>
    <col min="14862" max="14862" width="14.6640625" bestFit="1" customWidth="1"/>
    <col min="15106" max="15106" width="45.109375" customWidth="1"/>
    <col min="15110" max="15110" width="5.109375" customWidth="1"/>
    <col min="15114" max="15114" width="6.109375" customWidth="1"/>
    <col min="15118" max="15118" width="14.6640625" bestFit="1" customWidth="1"/>
    <col min="15362" max="15362" width="45.109375" customWidth="1"/>
    <col min="15366" max="15366" width="5.109375" customWidth="1"/>
    <col min="15370" max="15370" width="6.109375" customWidth="1"/>
    <col min="15374" max="15374" width="14.6640625" bestFit="1" customWidth="1"/>
    <col min="15618" max="15618" width="45.109375" customWidth="1"/>
    <col min="15622" max="15622" width="5.109375" customWidth="1"/>
    <col min="15626" max="15626" width="6.109375" customWidth="1"/>
    <col min="15630" max="15630" width="14.6640625" bestFit="1" customWidth="1"/>
    <col min="15874" max="15874" width="45.109375" customWidth="1"/>
    <col min="15878" max="15878" width="5.109375" customWidth="1"/>
    <col min="15882" max="15882" width="6.109375" customWidth="1"/>
    <col min="15886" max="15886" width="14.6640625" bestFit="1" customWidth="1"/>
    <col min="16130" max="16130" width="45.109375" customWidth="1"/>
    <col min="16134" max="16134" width="5.109375" customWidth="1"/>
    <col min="16138" max="16138" width="6.109375" customWidth="1"/>
    <col min="16142" max="16142" width="14.6640625" bestFit="1" customWidth="1"/>
  </cols>
  <sheetData>
    <row r="1" spans="2:14" ht="15.6" x14ac:dyDescent="0.3">
      <c r="B1" s="180" t="s">
        <v>24</v>
      </c>
      <c r="C1" s="180"/>
      <c r="D1" s="180"/>
      <c r="E1" s="180"/>
    </row>
    <row r="2" spans="2:14" ht="15.6" x14ac:dyDescent="0.3">
      <c r="B2" s="180" t="s">
        <v>58</v>
      </c>
      <c r="C2" s="180"/>
      <c r="D2" s="180"/>
      <c r="E2" s="180"/>
    </row>
    <row r="3" spans="2:14" ht="15.6" x14ac:dyDescent="0.3">
      <c r="B3" s="180" t="s">
        <v>43</v>
      </c>
      <c r="C3" s="180"/>
      <c r="D3" s="180"/>
      <c r="E3" s="180"/>
    </row>
    <row r="4" spans="2:14" ht="16.2" thickBot="1" x14ac:dyDescent="0.35">
      <c r="B4" s="46"/>
      <c r="C4" s="46"/>
      <c r="D4" s="46"/>
      <c r="E4" s="46"/>
    </row>
    <row r="5" spans="2:14" ht="16.2" thickBot="1" x14ac:dyDescent="0.35">
      <c r="B5" s="46"/>
      <c r="C5" s="46"/>
      <c r="D5" s="46"/>
      <c r="E5" s="46"/>
      <c r="G5" s="188" t="s">
        <v>59</v>
      </c>
      <c r="H5" s="189"/>
      <c r="I5" s="190"/>
      <c r="K5" s="194" t="s">
        <v>60</v>
      </c>
      <c r="L5" s="195"/>
      <c r="M5" s="195"/>
      <c r="N5" s="196"/>
    </row>
    <row r="6" spans="2:14" ht="16.2" thickBot="1" x14ac:dyDescent="0.35">
      <c r="B6" s="46"/>
      <c r="C6" s="46"/>
      <c r="D6" s="46"/>
      <c r="E6" s="46"/>
      <c r="G6" s="191"/>
      <c r="H6" s="192"/>
      <c r="I6" s="193"/>
      <c r="J6" s="47"/>
      <c r="K6" s="197" t="s">
        <v>61</v>
      </c>
      <c r="L6" s="198"/>
      <c r="M6" s="199" t="s">
        <v>62</v>
      </c>
      <c r="N6" s="200"/>
    </row>
    <row r="7" spans="2:14" ht="20.25" customHeight="1" thickBot="1" x14ac:dyDescent="0.35">
      <c r="B7" s="48" t="s">
        <v>26</v>
      </c>
      <c r="C7" s="7" t="s">
        <v>1</v>
      </c>
      <c r="D7" s="8" t="s">
        <v>2</v>
      </c>
      <c r="E7" s="9" t="s">
        <v>3</v>
      </c>
      <c r="G7" s="161" t="s">
        <v>1</v>
      </c>
      <c r="H7" s="4" t="s">
        <v>2</v>
      </c>
      <c r="I7" s="162" t="s">
        <v>3</v>
      </c>
      <c r="J7" s="46"/>
      <c r="K7" s="22" t="s">
        <v>63</v>
      </c>
      <c r="L7" s="23" t="s">
        <v>64</v>
      </c>
      <c r="M7" s="22" t="s">
        <v>63</v>
      </c>
      <c r="N7" s="23" t="s">
        <v>64</v>
      </c>
    </row>
    <row r="8" spans="2:14" ht="16.2" thickTop="1" x14ac:dyDescent="0.3">
      <c r="B8" s="42" t="s">
        <v>44</v>
      </c>
      <c r="C8" s="28"/>
      <c r="D8" s="28"/>
      <c r="E8" s="28"/>
      <c r="G8" s="163"/>
      <c r="H8" s="49"/>
      <c r="I8" s="164"/>
      <c r="J8" s="50"/>
      <c r="K8" s="51"/>
      <c r="L8" s="52"/>
      <c r="M8" s="51"/>
      <c r="N8" s="52"/>
    </row>
    <row r="9" spans="2:14" ht="15" x14ac:dyDescent="0.3">
      <c r="B9" s="35" t="s">
        <v>45</v>
      </c>
      <c r="C9" s="53">
        <f>'ESTADO DE SITUACION FINANCIERA'!D11</f>
        <v>245</v>
      </c>
      <c r="D9" s="53">
        <f>'ESTADO DE SITUACION FINANCIERA'!E11</f>
        <v>440</v>
      </c>
      <c r="E9" s="53">
        <f>'ESTADO DE SITUACION FINANCIERA'!F11</f>
        <v>260</v>
      </c>
      <c r="G9" s="165">
        <f t="shared" ref="G9:G17" si="0">+C9/$C$19</f>
        <v>2.5898520084566595E-2</v>
      </c>
      <c r="H9" s="54">
        <f t="shared" ref="H9:H17" si="1">+D9/$D$19</f>
        <v>3.6095159967186222E-2</v>
      </c>
      <c r="I9" s="40">
        <f t="shared" ref="I9:I17" si="2">+E9/$E$19</f>
        <v>1.3911182450508293E-2</v>
      </c>
      <c r="J9" s="55"/>
      <c r="K9" s="56">
        <f>+D9-C9</f>
        <v>195</v>
      </c>
      <c r="L9" s="57">
        <f>+K9/C9</f>
        <v>0.79591836734693877</v>
      </c>
      <c r="M9" s="56">
        <f>+E9-D9</f>
        <v>-180</v>
      </c>
      <c r="N9" s="57">
        <f>+M9/D9</f>
        <v>-0.40909090909090912</v>
      </c>
    </row>
    <row r="10" spans="2:14" ht="15" x14ac:dyDescent="0.3">
      <c r="B10" s="35" t="s">
        <v>18</v>
      </c>
      <c r="C10" s="53">
        <f>+'ESTADO DE SITUACION FINANCIERA'!D12</f>
        <v>4075</v>
      </c>
      <c r="D10" s="53">
        <f>+'ESTADO DE SITUACION FINANCIERA'!E12</f>
        <v>5865</v>
      </c>
      <c r="E10" s="53">
        <f>+'ESTADO DE SITUACION FINANCIERA'!F12</f>
        <v>8390</v>
      </c>
      <c r="G10" s="165">
        <f t="shared" si="0"/>
        <v>0.43076109936575052</v>
      </c>
      <c r="H10" s="54">
        <f t="shared" si="1"/>
        <v>0.48113207547169812</v>
      </c>
      <c r="I10" s="40">
        <f t="shared" si="2"/>
        <v>0.44890315676832532</v>
      </c>
      <c r="J10" s="55"/>
      <c r="K10" s="56">
        <f t="shared" ref="K10:K34" si="3">+D10-C10</f>
        <v>1790</v>
      </c>
      <c r="L10" s="57">
        <f t="shared" ref="L10:L33" si="4">+K10/C10</f>
        <v>0.43926380368098161</v>
      </c>
      <c r="M10" s="56">
        <f t="shared" ref="M10:M34" si="5">+E10-D10</f>
        <v>2525</v>
      </c>
      <c r="N10" s="57">
        <f t="shared" ref="N10:N34" si="6">+M10/D10</f>
        <v>0.43052003410059675</v>
      </c>
    </row>
    <row r="11" spans="2:14" ht="15.6" thickBot="1" x14ac:dyDescent="0.35">
      <c r="B11" s="35" t="s">
        <v>11</v>
      </c>
      <c r="C11" s="58">
        <f>+'ESTADO DE SITUACION FINANCIERA'!D13</f>
        <v>1345</v>
      </c>
      <c r="D11" s="58">
        <f>+'ESTADO DE SITUACION FINANCIERA'!E13</f>
        <v>1985</v>
      </c>
      <c r="E11" s="58">
        <f>+'ESTADO DE SITUACION FINANCIERA'!F13</f>
        <v>3230</v>
      </c>
      <c r="G11" s="165">
        <f t="shared" si="0"/>
        <v>0.14217758985200846</v>
      </c>
      <c r="H11" s="54">
        <f t="shared" si="1"/>
        <v>0.16283839212469237</v>
      </c>
      <c r="I11" s="40">
        <f t="shared" si="2"/>
        <v>0.17281968967362227</v>
      </c>
      <c r="J11" s="59"/>
      <c r="K11" s="56">
        <f t="shared" si="3"/>
        <v>640</v>
      </c>
      <c r="L11" s="57">
        <f t="shared" si="4"/>
        <v>0.47583643122676578</v>
      </c>
      <c r="M11" s="56">
        <f t="shared" si="5"/>
        <v>1245</v>
      </c>
      <c r="N11" s="57">
        <f t="shared" si="6"/>
        <v>0.62720403022670024</v>
      </c>
    </row>
    <row r="12" spans="2:14" ht="16.2" thickTop="1" x14ac:dyDescent="0.3">
      <c r="B12" s="42" t="s">
        <v>46</v>
      </c>
      <c r="C12" s="60">
        <f>SUM(C9:C11)</f>
        <v>5665</v>
      </c>
      <c r="D12" s="60">
        <f t="shared" ref="D12:E12" si="7">SUM(D9:D11)</f>
        <v>8290</v>
      </c>
      <c r="E12" s="60">
        <f t="shared" si="7"/>
        <v>11880</v>
      </c>
      <c r="G12" s="165">
        <f t="shared" si="0"/>
        <v>0.59883720930232553</v>
      </c>
      <c r="H12" s="54">
        <f t="shared" si="1"/>
        <v>0.68006562756357669</v>
      </c>
      <c r="I12" s="40">
        <f t="shared" si="2"/>
        <v>0.6356340288924559</v>
      </c>
      <c r="J12" s="55"/>
      <c r="K12" s="56">
        <f t="shared" si="3"/>
        <v>2625</v>
      </c>
      <c r="L12" s="57">
        <f t="shared" si="4"/>
        <v>0.46337157987643424</v>
      </c>
      <c r="M12" s="56">
        <f t="shared" si="5"/>
        <v>3590</v>
      </c>
      <c r="N12" s="57">
        <f t="shared" si="6"/>
        <v>0.43305186972255733</v>
      </c>
    </row>
    <row r="13" spans="2:14" ht="15" x14ac:dyDescent="0.3">
      <c r="B13" s="35"/>
      <c r="C13" s="53"/>
      <c r="D13" s="53"/>
      <c r="E13" s="53"/>
      <c r="G13" s="165"/>
      <c r="H13" s="54"/>
      <c r="I13" s="40"/>
      <c r="J13" s="55"/>
      <c r="K13" s="56"/>
      <c r="L13" s="57"/>
      <c r="M13" s="56"/>
      <c r="N13" s="57"/>
    </row>
    <row r="14" spans="2:14" ht="15" x14ac:dyDescent="0.3">
      <c r="B14" s="35" t="s">
        <v>8</v>
      </c>
      <c r="C14" s="53">
        <f>+'ESTADO DE SITUACION FINANCIERA'!D16</f>
        <v>400</v>
      </c>
      <c r="D14" s="53">
        <f>+'ESTADO DE SITUACION FINANCIERA'!E16</f>
        <v>400</v>
      </c>
      <c r="E14" s="53">
        <f>+'ESTADO DE SITUACION FINANCIERA'!F16</f>
        <v>500</v>
      </c>
      <c r="G14" s="165">
        <f t="shared" si="0"/>
        <v>4.2283298097251586E-2</v>
      </c>
      <c r="H14" s="54">
        <f t="shared" si="1"/>
        <v>3.2813781788351107E-2</v>
      </c>
      <c r="I14" s="40">
        <f t="shared" si="2"/>
        <v>2.6752273943285179E-2</v>
      </c>
      <c r="J14" s="55"/>
      <c r="K14" s="56">
        <f t="shared" si="3"/>
        <v>0</v>
      </c>
      <c r="L14" s="57">
        <v>0</v>
      </c>
      <c r="M14" s="56">
        <f t="shared" si="5"/>
        <v>100</v>
      </c>
      <c r="N14" s="57">
        <f t="shared" si="6"/>
        <v>0.25</v>
      </c>
    </row>
    <row r="15" spans="2:14" ht="15" x14ac:dyDescent="0.3">
      <c r="B15" s="35" t="s">
        <v>16</v>
      </c>
      <c r="C15" s="53">
        <f>+'ESTADO DE SITUACION FINANCIERA'!D17</f>
        <v>2295</v>
      </c>
      <c r="D15" s="53">
        <f>+'ESTADO DE SITUACION FINANCIERA'!E17</f>
        <v>2550</v>
      </c>
      <c r="E15" s="53">
        <f>+'ESTADO DE SITUACION FINANCIERA'!F17</f>
        <v>3750</v>
      </c>
      <c r="G15" s="165">
        <f t="shared" si="0"/>
        <v>0.24260042283298097</v>
      </c>
      <c r="H15" s="54">
        <f t="shared" si="1"/>
        <v>0.20918785890073832</v>
      </c>
      <c r="I15" s="40">
        <f t="shared" si="2"/>
        <v>0.20064205457463885</v>
      </c>
      <c r="J15" s="55"/>
      <c r="K15" s="56">
        <f t="shared" si="3"/>
        <v>255</v>
      </c>
      <c r="L15" s="57">
        <f t="shared" si="4"/>
        <v>0.1111111111111111</v>
      </c>
      <c r="M15" s="56">
        <f t="shared" si="5"/>
        <v>1200</v>
      </c>
      <c r="N15" s="57">
        <f t="shared" si="6"/>
        <v>0.47058823529411764</v>
      </c>
    </row>
    <row r="16" spans="2:14" ht="15" x14ac:dyDescent="0.3">
      <c r="B16" s="35" t="s">
        <v>13</v>
      </c>
      <c r="C16" s="53">
        <f>+'ESTADO DE SITUACION FINANCIERA'!D18</f>
        <v>1555</v>
      </c>
      <c r="D16" s="53">
        <f>+'ESTADO DE SITUACION FINANCIERA'!E18</f>
        <v>1625</v>
      </c>
      <c r="E16" s="53">
        <f>+'ESTADO DE SITUACION FINANCIERA'!F18</f>
        <v>3605</v>
      </c>
      <c r="G16" s="165">
        <f t="shared" si="0"/>
        <v>0.16437632135306554</v>
      </c>
      <c r="H16" s="54">
        <f t="shared" si="1"/>
        <v>0.13330598851517639</v>
      </c>
      <c r="I16" s="40">
        <f t="shared" si="2"/>
        <v>0.19288389513108614</v>
      </c>
      <c r="J16" s="55"/>
      <c r="K16" s="56">
        <f t="shared" si="3"/>
        <v>70</v>
      </c>
      <c r="L16" s="57">
        <f t="shared" si="4"/>
        <v>4.5016077170418008E-2</v>
      </c>
      <c r="M16" s="56">
        <f t="shared" si="5"/>
        <v>1980</v>
      </c>
      <c r="N16" s="57">
        <f t="shared" si="6"/>
        <v>1.2184615384615385</v>
      </c>
    </row>
    <row r="17" spans="2:14" ht="15.6" thickBot="1" x14ac:dyDescent="0.35">
      <c r="B17" s="35" t="s">
        <v>9</v>
      </c>
      <c r="C17" s="58">
        <f>+'ESTADO DE SITUACION FINANCIERA'!D19</f>
        <v>-455</v>
      </c>
      <c r="D17" s="58">
        <f>+'ESTADO DE SITUACION FINANCIERA'!E19</f>
        <v>-675</v>
      </c>
      <c r="E17" s="58">
        <f>+'ESTADO DE SITUACION FINANCIERA'!F19</f>
        <v>-1045</v>
      </c>
      <c r="G17" s="165">
        <f t="shared" si="0"/>
        <v>-4.8097251585623682E-2</v>
      </c>
      <c r="H17" s="54">
        <f t="shared" si="1"/>
        <v>-5.5373256767842494E-2</v>
      </c>
      <c r="I17" s="40">
        <f t="shared" si="2"/>
        <v>-5.5912252541466027E-2</v>
      </c>
      <c r="J17" s="59"/>
      <c r="K17" s="56">
        <f>+D17-C17</f>
        <v>-220</v>
      </c>
      <c r="L17" s="57">
        <f t="shared" si="4"/>
        <v>0.48351648351648352</v>
      </c>
      <c r="M17" s="56">
        <f t="shared" si="5"/>
        <v>-370</v>
      </c>
      <c r="N17" s="57">
        <f t="shared" si="6"/>
        <v>0.54814814814814816</v>
      </c>
    </row>
    <row r="18" spans="2:14" ht="16.8" thickTop="1" thickBot="1" x14ac:dyDescent="0.35">
      <c r="B18" s="42" t="s">
        <v>47</v>
      </c>
      <c r="C18" s="60">
        <f>SUM(C14:C17)</f>
        <v>3795</v>
      </c>
      <c r="D18" s="60">
        <f t="shared" ref="D18:E18" si="8">SUM(D14:D17)</f>
        <v>3900</v>
      </c>
      <c r="E18" s="60">
        <f t="shared" si="8"/>
        <v>6810</v>
      </c>
      <c r="G18" s="165">
        <f>+C18/$C$19</f>
        <v>0.40116279069767441</v>
      </c>
      <c r="H18" s="54">
        <f>+D18/$D$19</f>
        <v>0.31993437243642331</v>
      </c>
      <c r="I18" s="40">
        <f>+E18/$E$19</f>
        <v>0.36436597110754415</v>
      </c>
      <c r="J18" s="55"/>
      <c r="K18" s="56">
        <f t="shared" si="3"/>
        <v>105</v>
      </c>
      <c r="L18" s="57">
        <f t="shared" si="4"/>
        <v>2.766798418972332E-2</v>
      </c>
      <c r="M18" s="56">
        <f t="shared" si="5"/>
        <v>2910</v>
      </c>
      <c r="N18" s="57">
        <f t="shared" si="6"/>
        <v>0.74615384615384617</v>
      </c>
    </row>
    <row r="19" spans="2:14" ht="16.8" thickTop="1" thickBot="1" x14ac:dyDescent="0.35">
      <c r="B19" s="42" t="s">
        <v>48</v>
      </c>
      <c r="C19" s="61">
        <f>+C18+C12</f>
        <v>9460</v>
      </c>
      <c r="D19" s="61">
        <f t="shared" ref="D19:E19" si="9">+D18+D12</f>
        <v>12190</v>
      </c>
      <c r="E19" s="61">
        <f t="shared" si="9"/>
        <v>18690</v>
      </c>
      <c r="G19" s="204">
        <f t="shared" ref="G19:G34" si="10">+C19/$C$19</f>
        <v>1</v>
      </c>
      <c r="H19" s="205">
        <f t="shared" ref="H19:H34" si="11">+D19/$D$19</f>
        <v>1</v>
      </c>
      <c r="I19" s="206">
        <f t="shared" ref="I19:I34" si="12">+E19/$E$19</f>
        <v>1</v>
      </c>
      <c r="J19" s="62"/>
      <c r="K19" s="56">
        <f t="shared" si="3"/>
        <v>2730</v>
      </c>
      <c r="L19" s="57">
        <f t="shared" si="4"/>
        <v>0.28858350951374206</v>
      </c>
      <c r="M19" s="56">
        <f t="shared" si="5"/>
        <v>6500</v>
      </c>
      <c r="N19" s="57">
        <f t="shared" si="6"/>
        <v>0.53322395406070555</v>
      </c>
    </row>
    <row r="20" spans="2:14" ht="15.6" thickTop="1" x14ac:dyDescent="0.3">
      <c r="B20" s="28"/>
      <c r="C20" s="53"/>
      <c r="D20" s="53"/>
      <c r="E20" s="53"/>
      <c r="G20" s="165"/>
      <c r="H20" s="54"/>
      <c r="I20" s="40"/>
      <c r="J20" s="55"/>
      <c r="K20" s="56"/>
      <c r="L20" s="57"/>
      <c r="M20" s="56"/>
      <c r="N20" s="57"/>
    </row>
    <row r="21" spans="2:14" ht="15.6" x14ac:dyDescent="0.3">
      <c r="B21" s="42" t="s">
        <v>49</v>
      </c>
      <c r="C21" s="53"/>
      <c r="D21" s="53"/>
      <c r="E21" s="53"/>
      <c r="G21" s="165"/>
      <c r="H21" s="54"/>
      <c r="I21" s="40"/>
      <c r="J21" s="55"/>
      <c r="K21" s="56"/>
      <c r="L21" s="57"/>
      <c r="M21" s="56"/>
      <c r="N21" s="57"/>
    </row>
    <row r="22" spans="2:14" ht="15" x14ac:dyDescent="0.3">
      <c r="B22" s="35" t="s">
        <v>12</v>
      </c>
      <c r="C22" s="53">
        <f>'ESTADO DE SITUACION FINANCIERA'!D24</f>
        <v>1476</v>
      </c>
      <c r="D22" s="53">
        <f>'ESTADO DE SITUACION FINANCIERA'!E24</f>
        <v>1668</v>
      </c>
      <c r="E22" s="53">
        <f>'ESTADO DE SITUACION FINANCIERA'!F24</f>
        <v>4711</v>
      </c>
      <c r="G22" s="165">
        <f t="shared" si="10"/>
        <v>0.15602536997885835</v>
      </c>
      <c r="H22" s="54">
        <f t="shared" si="11"/>
        <v>0.13683347005742411</v>
      </c>
      <c r="I22" s="40">
        <f t="shared" si="12"/>
        <v>0.25205992509363295</v>
      </c>
      <c r="J22" s="55"/>
      <c r="K22" s="56">
        <f t="shared" si="3"/>
        <v>192</v>
      </c>
      <c r="L22" s="57">
        <f t="shared" si="4"/>
        <v>0.13008130081300814</v>
      </c>
      <c r="M22" s="56">
        <f t="shared" si="5"/>
        <v>3043</v>
      </c>
      <c r="N22" s="57">
        <f t="shared" si="6"/>
        <v>1.8243405275779376</v>
      </c>
    </row>
    <row r="23" spans="2:14" ht="15" x14ac:dyDescent="0.3">
      <c r="B23" s="35" t="s">
        <v>50</v>
      </c>
      <c r="C23" s="53">
        <f>+'ESTADO DE SITUACION FINANCIERA'!D25</f>
        <v>232.9</v>
      </c>
      <c r="D23" s="53">
        <f>+'ESTADO DE SITUACION FINANCIERA'!E25</f>
        <v>491.81340000000006</v>
      </c>
      <c r="E23" s="53">
        <f>+'ESTADO DE SITUACION FINANCIERA'!F25</f>
        <v>522.10619999999994</v>
      </c>
      <c r="G23" s="165">
        <f t="shared" si="10"/>
        <v>2.4619450317124737E-2</v>
      </c>
      <c r="H23" s="54">
        <f t="shared" si="11"/>
        <v>4.0345643970467603E-2</v>
      </c>
      <c r="I23" s="40">
        <f t="shared" si="12"/>
        <v>2.7935056179775278E-2</v>
      </c>
      <c r="J23" s="55"/>
      <c r="K23" s="56">
        <f t="shared" si="3"/>
        <v>258.91340000000002</v>
      </c>
      <c r="L23" s="57">
        <f t="shared" si="4"/>
        <v>1.1116934306569344</v>
      </c>
      <c r="M23" s="56">
        <f t="shared" si="5"/>
        <v>30.292799999999886</v>
      </c>
      <c r="N23" s="57">
        <f t="shared" si="6"/>
        <v>6.1594092393578298E-2</v>
      </c>
    </row>
    <row r="24" spans="2:14" ht="15.6" thickBot="1" x14ac:dyDescent="0.35">
      <c r="B24" s="35" t="s">
        <v>14</v>
      </c>
      <c r="C24" s="58">
        <f>+'ESTADO DE SITUACION FINANCIERA'!D26</f>
        <v>1905</v>
      </c>
      <c r="D24" s="58">
        <f>+'ESTADO DE SITUACION FINANCIERA'!E26</f>
        <v>2205</v>
      </c>
      <c r="E24" s="58">
        <f>+'ESTADO DE SITUACION FINANCIERA'!F26</f>
        <v>4009</v>
      </c>
      <c r="G24" s="165">
        <f t="shared" si="10"/>
        <v>0.20137420718816068</v>
      </c>
      <c r="H24" s="54">
        <f t="shared" si="11"/>
        <v>0.18088597210828547</v>
      </c>
      <c r="I24" s="40">
        <f t="shared" si="12"/>
        <v>0.21449973247726056</v>
      </c>
      <c r="J24" s="59"/>
      <c r="K24" s="56">
        <f t="shared" si="3"/>
        <v>300</v>
      </c>
      <c r="L24" s="57">
        <f t="shared" si="4"/>
        <v>0.15748031496062992</v>
      </c>
      <c r="M24" s="56">
        <f t="shared" si="5"/>
        <v>1804</v>
      </c>
      <c r="N24" s="57">
        <f t="shared" si="6"/>
        <v>0.81814058956916103</v>
      </c>
    </row>
    <row r="25" spans="2:14" ht="21" customHeight="1" thickTop="1" x14ac:dyDescent="0.3">
      <c r="B25" s="42" t="s">
        <v>66</v>
      </c>
      <c r="C25" s="60">
        <f>SUM(C22:C24)</f>
        <v>3613.9</v>
      </c>
      <c r="D25" s="60">
        <f t="shared" ref="D25:E25" si="13">SUM(D22:D24)</f>
        <v>4364.8134</v>
      </c>
      <c r="E25" s="60">
        <f t="shared" si="13"/>
        <v>9242.1062000000002</v>
      </c>
      <c r="G25" s="165">
        <f t="shared" si="10"/>
        <v>0.38201902748414379</v>
      </c>
      <c r="H25" s="54">
        <f t="shared" si="11"/>
        <v>0.35806508613617721</v>
      </c>
      <c r="I25" s="40">
        <f t="shared" si="12"/>
        <v>0.49449471375066884</v>
      </c>
      <c r="J25" s="55"/>
      <c r="K25" s="56">
        <f t="shared" si="3"/>
        <v>750.91339999999991</v>
      </c>
      <c r="L25" s="57">
        <f t="shared" si="4"/>
        <v>0.20778477545034446</v>
      </c>
      <c r="M25" s="56">
        <f t="shared" si="5"/>
        <v>4877.2928000000002</v>
      </c>
      <c r="N25" s="57">
        <f t="shared" si="6"/>
        <v>1.1174115255419625</v>
      </c>
    </row>
    <row r="26" spans="2:14" ht="15.6" thickBot="1" x14ac:dyDescent="0.35">
      <c r="B26" s="35" t="s">
        <v>7</v>
      </c>
      <c r="C26" s="58">
        <f>+'ESTADO DE SITUACION FINANCIERA'!D28</f>
        <v>350</v>
      </c>
      <c r="D26" s="58">
        <f>+'ESTADO DE SITUACION FINANCIERA'!E28</f>
        <v>1500</v>
      </c>
      <c r="E26" s="58">
        <f>+'ESTADO DE SITUACION FINANCIERA'!F28</f>
        <v>1250</v>
      </c>
      <c r="G26" s="165">
        <f t="shared" si="10"/>
        <v>3.699788583509514E-2</v>
      </c>
      <c r="H26" s="54">
        <f t="shared" si="11"/>
        <v>0.12305168170631665</v>
      </c>
      <c r="I26" s="40">
        <f t="shared" si="12"/>
        <v>6.6880684858212955E-2</v>
      </c>
      <c r="J26" s="59"/>
      <c r="K26" s="56">
        <f t="shared" si="3"/>
        <v>1150</v>
      </c>
      <c r="L26" s="57">
        <f t="shared" si="4"/>
        <v>3.2857142857142856</v>
      </c>
      <c r="M26" s="56">
        <f t="shared" si="5"/>
        <v>-250</v>
      </c>
      <c r="N26" s="57">
        <f t="shared" si="6"/>
        <v>-0.16666666666666666</v>
      </c>
    </row>
    <row r="27" spans="2:14" ht="16.2" thickTop="1" x14ac:dyDescent="0.3">
      <c r="B27" s="42" t="s">
        <v>52</v>
      </c>
      <c r="C27" s="60">
        <f>C25+C26</f>
        <v>3963.9</v>
      </c>
      <c r="D27" s="60">
        <f t="shared" ref="D27:E27" si="14">D25+D26</f>
        <v>5864.8134</v>
      </c>
      <c r="E27" s="60">
        <f t="shared" si="14"/>
        <v>10492.1062</v>
      </c>
      <c r="G27" s="165">
        <f t="shared" si="10"/>
        <v>0.4190169133192389</v>
      </c>
      <c r="H27" s="54">
        <f t="shared" si="11"/>
        <v>0.48111676784249385</v>
      </c>
      <c r="I27" s="40">
        <f t="shared" si="12"/>
        <v>0.56137539860888175</v>
      </c>
      <c r="J27" s="63"/>
      <c r="K27" s="56">
        <f t="shared" si="3"/>
        <v>1900.9133999999999</v>
      </c>
      <c r="L27" s="57">
        <f t="shared" si="4"/>
        <v>0.47955634602285624</v>
      </c>
      <c r="M27" s="56">
        <f t="shared" si="5"/>
        <v>4627.2928000000002</v>
      </c>
      <c r="N27" s="57">
        <f t="shared" si="6"/>
        <v>0.78899233179354011</v>
      </c>
    </row>
    <row r="28" spans="2:14" ht="15" x14ac:dyDescent="0.3">
      <c r="B28" s="28"/>
      <c r="C28" s="53"/>
      <c r="D28" s="53"/>
      <c r="E28" s="53"/>
      <c r="G28" s="165"/>
      <c r="H28" s="54"/>
      <c r="I28" s="40"/>
      <c r="J28" s="55"/>
      <c r="K28" s="56"/>
      <c r="L28" s="57"/>
      <c r="M28" s="56"/>
      <c r="N28" s="57"/>
    </row>
    <row r="29" spans="2:14" ht="15.6" x14ac:dyDescent="0.3">
      <c r="B29" s="42" t="s">
        <v>53</v>
      </c>
      <c r="C29" s="53"/>
      <c r="D29" s="53"/>
      <c r="E29" s="53"/>
      <c r="G29" s="165"/>
      <c r="H29" s="54"/>
      <c r="I29" s="40"/>
      <c r="J29" s="55"/>
      <c r="K29" s="56"/>
      <c r="L29" s="57"/>
      <c r="M29" s="56"/>
      <c r="N29" s="57"/>
    </row>
    <row r="30" spans="2:14" ht="15" x14ac:dyDescent="0.3">
      <c r="B30" s="35" t="s">
        <v>19</v>
      </c>
      <c r="C30" s="53">
        <f>+'ESTADO DE SITUACION FINANCIERA'!D32</f>
        <v>4660</v>
      </c>
      <c r="D30" s="53">
        <f>+'ESTADO DE SITUACION FINANCIERA'!E32</f>
        <v>5110</v>
      </c>
      <c r="E30" s="53">
        <f>+'ESTADO DE SITUACION FINANCIERA'!F32</f>
        <v>6110</v>
      </c>
      <c r="G30" s="165">
        <f t="shared" si="10"/>
        <v>0.492600422832981</v>
      </c>
      <c r="H30" s="54">
        <f t="shared" si="11"/>
        <v>0.41919606234618539</v>
      </c>
      <c r="I30" s="40">
        <f t="shared" si="12"/>
        <v>0.32691278758694486</v>
      </c>
      <c r="J30" s="55"/>
      <c r="K30" s="56">
        <f t="shared" si="3"/>
        <v>450</v>
      </c>
      <c r="L30" s="57">
        <f t="shared" si="4"/>
        <v>9.6566523605150209E-2</v>
      </c>
      <c r="M30" s="56">
        <f t="shared" si="5"/>
        <v>1000</v>
      </c>
      <c r="N30" s="57">
        <f t="shared" si="6"/>
        <v>0.19569471624266144</v>
      </c>
    </row>
    <row r="31" spans="2:14" ht="15" x14ac:dyDescent="0.3">
      <c r="B31" s="35" t="s">
        <v>54</v>
      </c>
      <c r="C31" s="53">
        <f>+'ESTADO DE SITUACION FINANCIERA'!D33</f>
        <v>452.1</v>
      </c>
      <c r="D31" s="53">
        <f>+'ESTADO DE SITUACION FINANCIERA'!E33</f>
        <v>954.69659999999999</v>
      </c>
      <c r="E31" s="53">
        <f>+'ESTADO DE SITUACION FINANCIERA'!F33</f>
        <v>1060.0337999999999</v>
      </c>
      <c r="G31" s="165">
        <f t="shared" si="10"/>
        <v>4.7790697674418604E-2</v>
      </c>
      <c r="H31" s="54">
        <f t="shared" si="11"/>
        <v>7.8318014766201802E-2</v>
      </c>
      <c r="I31" s="40">
        <f t="shared" si="12"/>
        <v>5.6716629213483145E-2</v>
      </c>
      <c r="J31" s="55"/>
      <c r="K31" s="56">
        <f t="shared" si="3"/>
        <v>502.59659999999997</v>
      </c>
      <c r="L31" s="57">
        <f t="shared" si="4"/>
        <v>1.1116934306569342</v>
      </c>
      <c r="M31" s="56">
        <f t="shared" si="5"/>
        <v>105.33719999999994</v>
      </c>
      <c r="N31" s="57">
        <f t="shared" si="6"/>
        <v>0.1103357862592157</v>
      </c>
    </row>
    <row r="32" spans="2:14" ht="15" x14ac:dyDescent="0.3">
      <c r="B32" s="35" t="s">
        <v>10</v>
      </c>
      <c r="C32" s="64">
        <f>+'ESTADO DE SITUACION FINANCIERA'!D34</f>
        <v>384</v>
      </c>
      <c r="D32" s="64">
        <f>+'ESTADO DE SITUACION FINANCIERA'!E34</f>
        <v>260</v>
      </c>
      <c r="E32" s="64">
        <f>+'ESTADO DE SITUACION FINANCIERA'!F34</f>
        <v>1028</v>
      </c>
      <c r="G32" s="165">
        <f t="shared" si="10"/>
        <v>4.059196617336152E-2</v>
      </c>
      <c r="H32" s="54">
        <f t="shared" si="11"/>
        <v>2.1328958162428219E-2</v>
      </c>
      <c r="I32" s="40">
        <f t="shared" si="12"/>
        <v>5.5002675227394326E-2</v>
      </c>
      <c r="J32" s="55"/>
      <c r="K32" s="56">
        <f t="shared" si="3"/>
        <v>-124</v>
      </c>
      <c r="L32" s="57">
        <f t="shared" si="4"/>
        <v>-0.32291666666666669</v>
      </c>
      <c r="M32" s="56">
        <f t="shared" si="5"/>
        <v>768</v>
      </c>
      <c r="N32" s="57">
        <f t="shared" si="6"/>
        <v>2.953846153846154</v>
      </c>
    </row>
    <row r="33" spans="2:14" ht="16.2" thickBot="1" x14ac:dyDescent="0.35">
      <c r="B33" s="42" t="s">
        <v>55</v>
      </c>
      <c r="C33" s="65">
        <f>+'ESTADO DE SITUACION FINANCIERA'!D35</f>
        <v>5496.1</v>
      </c>
      <c r="D33" s="65">
        <f>+'ESTADO DE SITUACION FINANCIERA'!E35</f>
        <v>6324.6966000000002</v>
      </c>
      <c r="E33" s="65">
        <f>+'ESTADO DE SITUACION FINANCIERA'!F35</f>
        <v>8198.0338000000011</v>
      </c>
      <c r="G33" s="165">
        <f t="shared" si="10"/>
        <v>0.58098308668076115</v>
      </c>
      <c r="H33" s="54">
        <f t="shared" si="11"/>
        <v>0.51884303527481546</v>
      </c>
      <c r="I33" s="40">
        <f t="shared" si="12"/>
        <v>0.43863209202782244</v>
      </c>
      <c r="J33" s="59"/>
      <c r="K33" s="56">
        <f t="shared" si="3"/>
        <v>828.59659999999985</v>
      </c>
      <c r="L33" s="57">
        <f t="shared" si="4"/>
        <v>0.15076083040701585</v>
      </c>
      <c r="M33" s="56">
        <f t="shared" si="5"/>
        <v>1873.3372000000008</v>
      </c>
      <c r="N33" s="57">
        <f t="shared" si="6"/>
        <v>0.29619400241270083</v>
      </c>
    </row>
    <row r="34" spans="2:14" ht="16.8" thickTop="1" thickBot="1" x14ac:dyDescent="0.35">
      <c r="B34" s="42" t="s">
        <v>56</v>
      </c>
      <c r="C34" s="66">
        <f>C33+C27</f>
        <v>9460</v>
      </c>
      <c r="D34" s="66">
        <f t="shared" ref="D34:E34" si="15">D33+D27</f>
        <v>12189.51</v>
      </c>
      <c r="E34" s="66">
        <f t="shared" si="15"/>
        <v>18690.14</v>
      </c>
      <c r="G34" s="204">
        <f t="shared" si="10"/>
        <v>1</v>
      </c>
      <c r="H34" s="205">
        <f t="shared" si="11"/>
        <v>0.99995980311730925</v>
      </c>
      <c r="I34" s="206">
        <f t="shared" si="12"/>
        <v>1.000007490636704</v>
      </c>
      <c r="J34" s="62"/>
      <c r="K34" s="67">
        <f t="shared" si="3"/>
        <v>2729.51</v>
      </c>
      <c r="L34" s="68">
        <v>1</v>
      </c>
      <c r="M34" s="67">
        <f t="shared" si="5"/>
        <v>6500.6299999999992</v>
      </c>
      <c r="N34" s="57">
        <f t="shared" si="6"/>
        <v>0.53329707264689052</v>
      </c>
    </row>
    <row r="35" spans="2:14" ht="15.6" thickTop="1" x14ac:dyDescent="0.3">
      <c r="B35" s="28"/>
      <c r="C35" s="36">
        <f>+C34-C19</f>
        <v>0</v>
      </c>
      <c r="D35" s="36">
        <f>+D34-D19</f>
        <v>-0.48999999999978172</v>
      </c>
      <c r="E35" s="36">
        <f>+E34-E19</f>
        <v>0.13999999999941792</v>
      </c>
    </row>
    <row r="36" spans="2:14" ht="15" thickBot="1" x14ac:dyDescent="0.35"/>
    <row r="37" spans="2:14" ht="18" x14ac:dyDescent="0.35">
      <c r="B37" s="69" t="s">
        <v>67</v>
      </c>
      <c r="C37" s="70">
        <v>1</v>
      </c>
      <c r="D37" s="70">
        <v>2</v>
      </c>
      <c r="E37" s="71">
        <v>3</v>
      </c>
    </row>
    <row r="38" spans="2:14" ht="18" x14ac:dyDescent="0.35">
      <c r="B38" s="72" t="s">
        <v>68</v>
      </c>
      <c r="C38" s="73"/>
      <c r="D38" s="73"/>
      <c r="E38" s="74"/>
    </row>
    <row r="39" spans="2:14" ht="18" x14ac:dyDescent="0.35">
      <c r="B39" s="72" t="s">
        <v>69</v>
      </c>
      <c r="C39" s="75"/>
      <c r="D39" s="75"/>
      <c r="E39" s="76"/>
    </row>
    <row r="40" spans="2:14" ht="18.75" customHeight="1" x14ac:dyDescent="0.3">
      <c r="B40" s="77" t="s">
        <v>70</v>
      </c>
      <c r="C40" s="78"/>
      <c r="D40" s="78"/>
      <c r="E40" s="79"/>
    </row>
    <row r="41" spans="2:14" x14ac:dyDescent="0.3">
      <c r="B41" s="80"/>
      <c r="C41" s="81"/>
      <c r="D41" s="81"/>
      <c r="E41" s="82"/>
    </row>
    <row r="42" spans="2:14" x14ac:dyDescent="0.3">
      <c r="B42" s="83" t="s">
        <v>71</v>
      </c>
      <c r="E42" s="84"/>
    </row>
    <row r="43" spans="2:14" x14ac:dyDescent="0.3">
      <c r="B43" s="85" t="s">
        <v>72</v>
      </c>
      <c r="C43" s="14">
        <v>0.26</v>
      </c>
      <c r="D43" s="14">
        <v>0.24</v>
      </c>
      <c r="E43" s="86">
        <v>0.27</v>
      </c>
    </row>
    <row r="44" spans="2:14" x14ac:dyDescent="0.3">
      <c r="B44" s="85" t="s">
        <v>73</v>
      </c>
      <c r="C44" s="87">
        <f>+C43+1.5%</f>
        <v>0.27500000000000002</v>
      </c>
      <c r="D44" s="87">
        <f>+D43+1.5%</f>
        <v>0.255</v>
      </c>
      <c r="E44" s="88">
        <f>+E43+1.5%</f>
        <v>0.28500000000000003</v>
      </c>
    </row>
    <row r="45" spans="2:14" x14ac:dyDescent="0.3">
      <c r="B45" s="80"/>
      <c r="E45" s="84"/>
    </row>
    <row r="46" spans="2:14" x14ac:dyDescent="0.3">
      <c r="B46" s="85" t="s">
        <v>74</v>
      </c>
      <c r="D46">
        <f>+D43*C22</f>
        <v>354.24</v>
      </c>
      <c r="E46" s="84">
        <f>+E43*D22</f>
        <v>450.36</v>
      </c>
    </row>
    <row r="47" spans="2:14" x14ac:dyDescent="0.3">
      <c r="B47" s="85" t="s">
        <v>75</v>
      </c>
      <c r="D47" s="89">
        <f>+D44*C26</f>
        <v>89.25</v>
      </c>
      <c r="E47" s="90">
        <f>+E44*D26</f>
        <v>427.50000000000006</v>
      </c>
    </row>
    <row r="48" spans="2:14" x14ac:dyDescent="0.3">
      <c r="B48" s="91" t="s">
        <v>76</v>
      </c>
      <c r="C48" s="92"/>
      <c r="D48" s="92">
        <f>+D46+D47</f>
        <v>443.49</v>
      </c>
      <c r="E48" s="93">
        <f>+E46+E47</f>
        <v>877.86000000000013</v>
      </c>
    </row>
    <row r="49" spans="2:5" x14ac:dyDescent="0.3">
      <c r="B49" s="80" t="s">
        <v>77</v>
      </c>
      <c r="C49" s="92"/>
      <c r="D49" s="92"/>
      <c r="E49" s="93"/>
    </row>
    <row r="50" spans="2:5" x14ac:dyDescent="0.3">
      <c r="B50" s="80" t="s">
        <v>78</v>
      </c>
      <c r="C50" s="92"/>
      <c r="D50" s="92"/>
      <c r="E50" s="93"/>
    </row>
    <row r="51" spans="2:5" x14ac:dyDescent="0.3">
      <c r="B51" s="80"/>
      <c r="E51" s="84"/>
    </row>
    <row r="52" spans="2:5" x14ac:dyDescent="0.3">
      <c r="B52" s="83" t="s">
        <v>79</v>
      </c>
      <c r="E52" s="84"/>
    </row>
    <row r="53" spans="2:5" x14ac:dyDescent="0.3">
      <c r="B53" s="80" t="s">
        <v>80</v>
      </c>
      <c r="E53" s="84"/>
    </row>
    <row r="54" spans="2:5" x14ac:dyDescent="0.3">
      <c r="B54" s="80" t="s">
        <v>81</v>
      </c>
      <c r="E54" s="84"/>
    </row>
    <row r="55" spans="2:5" ht="15" thickBot="1" x14ac:dyDescent="0.35">
      <c r="B55" s="94"/>
      <c r="C55" s="95"/>
      <c r="D55" s="95"/>
      <c r="E55" s="96"/>
    </row>
    <row r="58" spans="2:5" x14ac:dyDescent="0.3">
      <c r="C58" s="97"/>
      <c r="D58" s="97"/>
      <c r="E58" s="97"/>
    </row>
    <row r="59" spans="2:5" x14ac:dyDescent="0.3">
      <c r="C59" s="97"/>
      <c r="D59" s="97"/>
      <c r="E59" s="97"/>
    </row>
    <row r="60" spans="2:5" x14ac:dyDescent="0.3">
      <c r="C60" s="97"/>
      <c r="D60" s="97"/>
      <c r="E60" s="97"/>
    </row>
    <row r="61" spans="2:5" x14ac:dyDescent="0.3">
      <c r="C61" s="97"/>
      <c r="D61" s="97"/>
      <c r="E61" s="97"/>
    </row>
    <row r="62" spans="2:5" x14ac:dyDescent="0.3">
      <c r="C62" s="97"/>
      <c r="D62" s="97"/>
      <c r="E62" s="97"/>
    </row>
    <row r="63" spans="2:5" x14ac:dyDescent="0.3">
      <c r="D63" s="97"/>
      <c r="E63" s="97"/>
    </row>
  </sheetData>
  <mergeCells count="7">
    <mergeCell ref="B1:E1"/>
    <mergeCell ref="B2:E2"/>
    <mergeCell ref="B3:E3"/>
    <mergeCell ref="G5:I6"/>
    <mergeCell ref="K5:N5"/>
    <mergeCell ref="K6:L6"/>
    <mergeCell ref="M6:N6"/>
  </mergeCells>
  <dataValidations count="2">
    <dataValidation allowBlank="1" showInputMessage="1" showErrorMessage="1" promptTitle="COSTO DE LA DEUDA PROMEDIO (Kd)" prompt="Tome el valor de los gastos financieros del año 2 y dividálo entre el pasivo financiero del año 1" sqref="D49 IZ49 SV49 ACR49 AMN49 AWJ49 BGF49 BQB49 BZX49 CJT49 CTP49 DDL49 DNH49 DXD49 EGZ49 EQV49 FAR49 FKN49 FUJ49 GEF49 GOB49 GXX49 HHT49 HRP49 IBL49 ILH49 IVD49 JEZ49 JOV49 JYR49 KIN49 KSJ49 LCF49 LMB49 LVX49 MFT49 MPP49 MZL49 NJH49 NTD49 OCZ49 OMV49 OWR49 PGN49 PQJ49 QAF49 QKB49 QTX49 RDT49 RNP49 RXL49 SHH49 SRD49 TAZ49 TKV49 TUR49 UEN49 UOJ49 UYF49 VIB49 VRX49 WBT49 WLP49 WVL49 D65585 IZ65585 SV65585 ACR65585 AMN65585 AWJ65585 BGF65585 BQB65585 BZX65585 CJT65585 CTP65585 DDL65585 DNH65585 DXD65585 EGZ65585 EQV65585 FAR65585 FKN65585 FUJ65585 GEF65585 GOB65585 GXX65585 HHT65585 HRP65585 IBL65585 ILH65585 IVD65585 JEZ65585 JOV65585 JYR65585 KIN65585 KSJ65585 LCF65585 LMB65585 LVX65585 MFT65585 MPP65585 MZL65585 NJH65585 NTD65585 OCZ65585 OMV65585 OWR65585 PGN65585 PQJ65585 QAF65585 QKB65585 QTX65585 RDT65585 RNP65585 RXL65585 SHH65585 SRD65585 TAZ65585 TKV65585 TUR65585 UEN65585 UOJ65585 UYF65585 VIB65585 VRX65585 WBT65585 WLP65585 WVL65585 D131121 IZ131121 SV131121 ACR131121 AMN131121 AWJ131121 BGF131121 BQB131121 BZX131121 CJT131121 CTP131121 DDL131121 DNH131121 DXD131121 EGZ131121 EQV131121 FAR131121 FKN131121 FUJ131121 GEF131121 GOB131121 GXX131121 HHT131121 HRP131121 IBL131121 ILH131121 IVD131121 JEZ131121 JOV131121 JYR131121 KIN131121 KSJ131121 LCF131121 LMB131121 LVX131121 MFT131121 MPP131121 MZL131121 NJH131121 NTD131121 OCZ131121 OMV131121 OWR131121 PGN131121 PQJ131121 QAF131121 QKB131121 QTX131121 RDT131121 RNP131121 RXL131121 SHH131121 SRD131121 TAZ131121 TKV131121 TUR131121 UEN131121 UOJ131121 UYF131121 VIB131121 VRX131121 WBT131121 WLP131121 WVL131121 D196657 IZ196657 SV196657 ACR196657 AMN196657 AWJ196657 BGF196657 BQB196657 BZX196657 CJT196657 CTP196657 DDL196657 DNH196657 DXD196657 EGZ196657 EQV196657 FAR196657 FKN196657 FUJ196657 GEF196657 GOB196657 GXX196657 HHT196657 HRP196657 IBL196657 ILH196657 IVD196657 JEZ196657 JOV196657 JYR196657 KIN196657 KSJ196657 LCF196657 LMB196657 LVX196657 MFT196657 MPP196657 MZL196657 NJH196657 NTD196657 OCZ196657 OMV196657 OWR196657 PGN196657 PQJ196657 QAF196657 QKB196657 QTX196657 RDT196657 RNP196657 RXL196657 SHH196657 SRD196657 TAZ196657 TKV196657 TUR196657 UEN196657 UOJ196657 UYF196657 VIB196657 VRX196657 WBT196657 WLP196657 WVL196657 D262193 IZ262193 SV262193 ACR262193 AMN262193 AWJ262193 BGF262193 BQB262193 BZX262193 CJT262193 CTP262193 DDL262193 DNH262193 DXD262193 EGZ262193 EQV262193 FAR262193 FKN262193 FUJ262193 GEF262193 GOB262193 GXX262193 HHT262193 HRP262193 IBL262193 ILH262193 IVD262193 JEZ262193 JOV262193 JYR262193 KIN262193 KSJ262193 LCF262193 LMB262193 LVX262193 MFT262193 MPP262193 MZL262193 NJH262193 NTD262193 OCZ262193 OMV262193 OWR262193 PGN262193 PQJ262193 QAF262193 QKB262193 QTX262193 RDT262193 RNP262193 RXL262193 SHH262193 SRD262193 TAZ262193 TKV262193 TUR262193 UEN262193 UOJ262193 UYF262193 VIB262193 VRX262193 WBT262193 WLP262193 WVL262193 D327729 IZ327729 SV327729 ACR327729 AMN327729 AWJ327729 BGF327729 BQB327729 BZX327729 CJT327729 CTP327729 DDL327729 DNH327729 DXD327729 EGZ327729 EQV327729 FAR327729 FKN327729 FUJ327729 GEF327729 GOB327729 GXX327729 HHT327729 HRP327729 IBL327729 ILH327729 IVD327729 JEZ327729 JOV327729 JYR327729 KIN327729 KSJ327729 LCF327729 LMB327729 LVX327729 MFT327729 MPP327729 MZL327729 NJH327729 NTD327729 OCZ327729 OMV327729 OWR327729 PGN327729 PQJ327729 QAF327729 QKB327729 QTX327729 RDT327729 RNP327729 RXL327729 SHH327729 SRD327729 TAZ327729 TKV327729 TUR327729 UEN327729 UOJ327729 UYF327729 VIB327729 VRX327729 WBT327729 WLP327729 WVL327729 D393265 IZ393265 SV393265 ACR393265 AMN393265 AWJ393265 BGF393265 BQB393265 BZX393265 CJT393265 CTP393265 DDL393265 DNH393265 DXD393265 EGZ393265 EQV393265 FAR393265 FKN393265 FUJ393265 GEF393265 GOB393265 GXX393265 HHT393265 HRP393265 IBL393265 ILH393265 IVD393265 JEZ393265 JOV393265 JYR393265 KIN393265 KSJ393265 LCF393265 LMB393265 LVX393265 MFT393265 MPP393265 MZL393265 NJH393265 NTD393265 OCZ393265 OMV393265 OWR393265 PGN393265 PQJ393265 QAF393265 QKB393265 QTX393265 RDT393265 RNP393265 RXL393265 SHH393265 SRD393265 TAZ393265 TKV393265 TUR393265 UEN393265 UOJ393265 UYF393265 VIB393265 VRX393265 WBT393265 WLP393265 WVL393265 D458801 IZ458801 SV458801 ACR458801 AMN458801 AWJ458801 BGF458801 BQB458801 BZX458801 CJT458801 CTP458801 DDL458801 DNH458801 DXD458801 EGZ458801 EQV458801 FAR458801 FKN458801 FUJ458801 GEF458801 GOB458801 GXX458801 HHT458801 HRP458801 IBL458801 ILH458801 IVD458801 JEZ458801 JOV458801 JYR458801 KIN458801 KSJ458801 LCF458801 LMB458801 LVX458801 MFT458801 MPP458801 MZL458801 NJH458801 NTD458801 OCZ458801 OMV458801 OWR458801 PGN458801 PQJ458801 QAF458801 QKB458801 QTX458801 RDT458801 RNP458801 RXL458801 SHH458801 SRD458801 TAZ458801 TKV458801 TUR458801 UEN458801 UOJ458801 UYF458801 VIB458801 VRX458801 WBT458801 WLP458801 WVL458801 D524337 IZ524337 SV524337 ACR524337 AMN524337 AWJ524337 BGF524337 BQB524337 BZX524337 CJT524337 CTP524337 DDL524337 DNH524337 DXD524337 EGZ524337 EQV524337 FAR524337 FKN524337 FUJ524337 GEF524337 GOB524337 GXX524337 HHT524337 HRP524337 IBL524337 ILH524337 IVD524337 JEZ524337 JOV524337 JYR524337 KIN524337 KSJ524337 LCF524337 LMB524337 LVX524337 MFT524337 MPP524337 MZL524337 NJH524337 NTD524337 OCZ524337 OMV524337 OWR524337 PGN524337 PQJ524337 QAF524337 QKB524337 QTX524337 RDT524337 RNP524337 RXL524337 SHH524337 SRD524337 TAZ524337 TKV524337 TUR524337 UEN524337 UOJ524337 UYF524337 VIB524337 VRX524337 WBT524337 WLP524337 WVL524337 D589873 IZ589873 SV589873 ACR589873 AMN589873 AWJ589873 BGF589873 BQB589873 BZX589873 CJT589873 CTP589873 DDL589873 DNH589873 DXD589873 EGZ589873 EQV589873 FAR589873 FKN589873 FUJ589873 GEF589873 GOB589873 GXX589873 HHT589873 HRP589873 IBL589873 ILH589873 IVD589873 JEZ589873 JOV589873 JYR589873 KIN589873 KSJ589873 LCF589873 LMB589873 LVX589873 MFT589873 MPP589873 MZL589873 NJH589873 NTD589873 OCZ589873 OMV589873 OWR589873 PGN589873 PQJ589873 QAF589873 QKB589873 QTX589873 RDT589873 RNP589873 RXL589873 SHH589873 SRD589873 TAZ589873 TKV589873 TUR589873 UEN589873 UOJ589873 UYF589873 VIB589873 VRX589873 WBT589873 WLP589873 WVL589873 D655409 IZ655409 SV655409 ACR655409 AMN655409 AWJ655409 BGF655409 BQB655409 BZX655409 CJT655409 CTP655409 DDL655409 DNH655409 DXD655409 EGZ655409 EQV655409 FAR655409 FKN655409 FUJ655409 GEF655409 GOB655409 GXX655409 HHT655409 HRP655409 IBL655409 ILH655409 IVD655409 JEZ655409 JOV655409 JYR655409 KIN655409 KSJ655409 LCF655409 LMB655409 LVX655409 MFT655409 MPP655409 MZL655409 NJH655409 NTD655409 OCZ655409 OMV655409 OWR655409 PGN655409 PQJ655409 QAF655409 QKB655409 QTX655409 RDT655409 RNP655409 RXL655409 SHH655409 SRD655409 TAZ655409 TKV655409 TUR655409 UEN655409 UOJ655409 UYF655409 VIB655409 VRX655409 WBT655409 WLP655409 WVL655409 D720945 IZ720945 SV720945 ACR720945 AMN720945 AWJ720945 BGF720945 BQB720945 BZX720945 CJT720945 CTP720945 DDL720945 DNH720945 DXD720945 EGZ720945 EQV720945 FAR720945 FKN720945 FUJ720945 GEF720945 GOB720945 GXX720945 HHT720945 HRP720945 IBL720945 ILH720945 IVD720945 JEZ720945 JOV720945 JYR720945 KIN720945 KSJ720945 LCF720945 LMB720945 LVX720945 MFT720945 MPP720945 MZL720945 NJH720945 NTD720945 OCZ720945 OMV720945 OWR720945 PGN720945 PQJ720945 QAF720945 QKB720945 QTX720945 RDT720945 RNP720945 RXL720945 SHH720945 SRD720945 TAZ720945 TKV720945 TUR720945 UEN720945 UOJ720945 UYF720945 VIB720945 VRX720945 WBT720945 WLP720945 WVL720945 D786481 IZ786481 SV786481 ACR786481 AMN786481 AWJ786481 BGF786481 BQB786481 BZX786481 CJT786481 CTP786481 DDL786481 DNH786481 DXD786481 EGZ786481 EQV786481 FAR786481 FKN786481 FUJ786481 GEF786481 GOB786481 GXX786481 HHT786481 HRP786481 IBL786481 ILH786481 IVD786481 JEZ786481 JOV786481 JYR786481 KIN786481 KSJ786481 LCF786481 LMB786481 LVX786481 MFT786481 MPP786481 MZL786481 NJH786481 NTD786481 OCZ786481 OMV786481 OWR786481 PGN786481 PQJ786481 QAF786481 QKB786481 QTX786481 RDT786481 RNP786481 RXL786481 SHH786481 SRD786481 TAZ786481 TKV786481 TUR786481 UEN786481 UOJ786481 UYF786481 VIB786481 VRX786481 WBT786481 WLP786481 WVL786481 D852017 IZ852017 SV852017 ACR852017 AMN852017 AWJ852017 BGF852017 BQB852017 BZX852017 CJT852017 CTP852017 DDL852017 DNH852017 DXD852017 EGZ852017 EQV852017 FAR852017 FKN852017 FUJ852017 GEF852017 GOB852017 GXX852017 HHT852017 HRP852017 IBL852017 ILH852017 IVD852017 JEZ852017 JOV852017 JYR852017 KIN852017 KSJ852017 LCF852017 LMB852017 LVX852017 MFT852017 MPP852017 MZL852017 NJH852017 NTD852017 OCZ852017 OMV852017 OWR852017 PGN852017 PQJ852017 QAF852017 QKB852017 QTX852017 RDT852017 RNP852017 RXL852017 SHH852017 SRD852017 TAZ852017 TKV852017 TUR852017 UEN852017 UOJ852017 UYF852017 VIB852017 VRX852017 WBT852017 WLP852017 WVL852017 D917553 IZ917553 SV917553 ACR917553 AMN917553 AWJ917553 BGF917553 BQB917553 BZX917553 CJT917553 CTP917553 DDL917553 DNH917553 DXD917553 EGZ917553 EQV917553 FAR917553 FKN917553 FUJ917553 GEF917553 GOB917553 GXX917553 HHT917553 HRP917553 IBL917553 ILH917553 IVD917553 JEZ917553 JOV917553 JYR917553 KIN917553 KSJ917553 LCF917553 LMB917553 LVX917553 MFT917553 MPP917553 MZL917553 NJH917553 NTD917553 OCZ917553 OMV917553 OWR917553 PGN917553 PQJ917553 QAF917553 QKB917553 QTX917553 RDT917553 RNP917553 RXL917553 SHH917553 SRD917553 TAZ917553 TKV917553 TUR917553 UEN917553 UOJ917553 UYF917553 VIB917553 VRX917553 WBT917553 WLP917553 WVL917553 D983089 IZ983089 SV983089 ACR983089 AMN983089 AWJ983089 BGF983089 BQB983089 BZX983089 CJT983089 CTP983089 DDL983089 DNH983089 DXD983089 EGZ983089 EQV983089 FAR983089 FKN983089 FUJ983089 GEF983089 GOB983089 GXX983089 HHT983089 HRP983089 IBL983089 ILH983089 IVD983089 JEZ983089 JOV983089 JYR983089 KIN983089 KSJ983089 LCF983089 LMB983089 LVX983089 MFT983089 MPP983089 MZL983089 NJH983089 NTD983089 OCZ983089 OMV983089 OWR983089 PGN983089 PQJ983089 QAF983089 QKB983089 QTX983089 RDT983089 RNP983089 RXL983089 SHH983089 SRD983089 TAZ983089 TKV983089 TUR983089 UEN983089 UOJ983089 UYF983089 VIB983089 VRX983089 WBT983089 WLP983089 WVL983089" xr:uid="{00000000-0002-0000-0400-000000000000}"/>
    <dataValidation allowBlank="1" showInputMessage="1" showErrorMessage="1" promptTitle="Kdt" prompt="Kd x (1 - % de impuesto a la renta)" sqref="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6 IZ65586 SV65586 ACR65586 AMN65586 AWJ65586 BGF65586 BQB65586 BZX65586 CJT65586 CTP65586 DDL65586 DNH65586 DXD65586 EGZ65586 EQV65586 FAR65586 FKN65586 FUJ65586 GEF65586 GOB65586 GXX65586 HHT65586 HRP65586 IBL65586 ILH65586 IVD65586 JEZ65586 JOV65586 JYR65586 KIN65586 KSJ65586 LCF65586 LMB65586 LVX65586 MFT65586 MPP65586 MZL65586 NJH65586 NTD65586 OCZ65586 OMV65586 OWR65586 PGN65586 PQJ65586 QAF65586 QKB65586 QTX65586 RDT65586 RNP65586 RXL65586 SHH65586 SRD65586 TAZ65586 TKV65586 TUR65586 UEN65586 UOJ65586 UYF65586 VIB65586 VRX65586 WBT65586 WLP65586 WVL65586 D131122 IZ131122 SV131122 ACR131122 AMN131122 AWJ131122 BGF131122 BQB131122 BZX131122 CJT131122 CTP131122 DDL131122 DNH131122 DXD131122 EGZ131122 EQV131122 FAR131122 FKN131122 FUJ131122 GEF131122 GOB131122 GXX131122 HHT131122 HRP131122 IBL131122 ILH131122 IVD131122 JEZ131122 JOV131122 JYR131122 KIN131122 KSJ131122 LCF131122 LMB131122 LVX131122 MFT131122 MPP131122 MZL131122 NJH131122 NTD131122 OCZ131122 OMV131122 OWR131122 PGN131122 PQJ131122 QAF131122 QKB131122 QTX131122 RDT131122 RNP131122 RXL131122 SHH131122 SRD131122 TAZ131122 TKV131122 TUR131122 UEN131122 UOJ131122 UYF131122 VIB131122 VRX131122 WBT131122 WLP131122 WVL131122 D196658 IZ196658 SV196658 ACR196658 AMN196658 AWJ196658 BGF196658 BQB196658 BZX196658 CJT196658 CTP196658 DDL196658 DNH196658 DXD196658 EGZ196658 EQV196658 FAR196658 FKN196658 FUJ196658 GEF196658 GOB196658 GXX196658 HHT196658 HRP196658 IBL196658 ILH196658 IVD196658 JEZ196658 JOV196658 JYR196658 KIN196658 KSJ196658 LCF196658 LMB196658 LVX196658 MFT196658 MPP196658 MZL196658 NJH196658 NTD196658 OCZ196658 OMV196658 OWR196658 PGN196658 PQJ196658 QAF196658 QKB196658 QTX196658 RDT196658 RNP196658 RXL196658 SHH196658 SRD196658 TAZ196658 TKV196658 TUR196658 UEN196658 UOJ196658 UYF196658 VIB196658 VRX196658 WBT196658 WLP196658 WVL196658 D262194 IZ262194 SV262194 ACR262194 AMN262194 AWJ262194 BGF262194 BQB262194 BZX262194 CJT262194 CTP262194 DDL262194 DNH262194 DXD262194 EGZ262194 EQV262194 FAR262194 FKN262194 FUJ262194 GEF262194 GOB262194 GXX262194 HHT262194 HRP262194 IBL262194 ILH262194 IVD262194 JEZ262194 JOV262194 JYR262194 KIN262194 KSJ262194 LCF262194 LMB262194 LVX262194 MFT262194 MPP262194 MZL262194 NJH262194 NTD262194 OCZ262194 OMV262194 OWR262194 PGN262194 PQJ262194 QAF262194 QKB262194 QTX262194 RDT262194 RNP262194 RXL262194 SHH262194 SRD262194 TAZ262194 TKV262194 TUR262194 UEN262194 UOJ262194 UYF262194 VIB262194 VRX262194 WBT262194 WLP262194 WVL262194 D327730 IZ327730 SV327730 ACR327730 AMN327730 AWJ327730 BGF327730 BQB327730 BZX327730 CJT327730 CTP327730 DDL327730 DNH327730 DXD327730 EGZ327730 EQV327730 FAR327730 FKN327730 FUJ327730 GEF327730 GOB327730 GXX327730 HHT327730 HRP327730 IBL327730 ILH327730 IVD327730 JEZ327730 JOV327730 JYR327730 KIN327730 KSJ327730 LCF327730 LMB327730 LVX327730 MFT327730 MPP327730 MZL327730 NJH327730 NTD327730 OCZ327730 OMV327730 OWR327730 PGN327730 PQJ327730 QAF327730 QKB327730 QTX327730 RDT327730 RNP327730 RXL327730 SHH327730 SRD327730 TAZ327730 TKV327730 TUR327730 UEN327730 UOJ327730 UYF327730 VIB327730 VRX327730 WBT327730 WLP327730 WVL327730 D393266 IZ393266 SV393266 ACR393266 AMN393266 AWJ393266 BGF393266 BQB393266 BZX393266 CJT393266 CTP393266 DDL393266 DNH393266 DXD393266 EGZ393266 EQV393266 FAR393266 FKN393266 FUJ393266 GEF393266 GOB393266 GXX393266 HHT393266 HRP393266 IBL393266 ILH393266 IVD393266 JEZ393266 JOV393266 JYR393266 KIN393266 KSJ393266 LCF393266 LMB393266 LVX393266 MFT393266 MPP393266 MZL393266 NJH393266 NTD393266 OCZ393266 OMV393266 OWR393266 PGN393266 PQJ393266 QAF393266 QKB393266 QTX393266 RDT393266 RNP393266 RXL393266 SHH393266 SRD393266 TAZ393266 TKV393266 TUR393266 UEN393266 UOJ393266 UYF393266 VIB393266 VRX393266 WBT393266 WLP393266 WVL393266 D458802 IZ458802 SV458802 ACR458802 AMN458802 AWJ458802 BGF458802 BQB458802 BZX458802 CJT458802 CTP458802 DDL458802 DNH458802 DXD458802 EGZ458802 EQV458802 FAR458802 FKN458802 FUJ458802 GEF458802 GOB458802 GXX458802 HHT458802 HRP458802 IBL458802 ILH458802 IVD458802 JEZ458802 JOV458802 JYR458802 KIN458802 KSJ458802 LCF458802 LMB458802 LVX458802 MFT458802 MPP458802 MZL458802 NJH458802 NTD458802 OCZ458802 OMV458802 OWR458802 PGN458802 PQJ458802 QAF458802 QKB458802 QTX458802 RDT458802 RNP458802 RXL458802 SHH458802 SRD458802 TAZ458802 TKV458802 TUR458802 UEN458802 UOJ458802 UYF458802 VIB458802 VRX458802 WBT458802 WLP458802 WVL458802 D524338 IZ524338 SV524338 ACR524338 AMN524338 AWJ524338 BGF524338 BQB524338 BZX524338 CJT524338 CTP524338 DDL524338 DNH524338 DXD524338 EGZ524338 EQV524338 FAR524338 FKN524338 FUJ524338 GEF524338 GOB524338 GXX524338 HHT524338 HRP524338 IBL524338 ILH524338 IVD524338 JEZ524338 JOV524338 JYR524338 KIN524338 KSJ524338 LCF524338 LMB524338 LVX524338 MFT524338 MPP524338 MZL524338 NJH524338 NTD524338 OCZ524338 OMV524338 OWR524338 PGN524338 PQJ524338 QAF524338 QKB524338 QTX524338 RDT524338 RNP524338 RXL524338 SHH524338 SRD524338 TAZ524338 TKV524338 TUR524338 UEN524338 UOJ524338 UYF524338 VIB524338 VRX524338 WBT524338 WLP524338 WVL524338 D589874 IZ589874 SV589874 ACR589874 AMN589874 AWJ589874 BGF589874 BQB589874 BZX589874 CJT589874 CTP589874 DDL589874 DNH589874 DXD589874 EGZ589874 EQV589874 FAR589874 FKN589874 FUJ589874 GEF589874 GOB589874 GXX589874 HHT589874 HRP589874 IBL589874 ILH589874 IVD589874 JEZ589874 JOV589874 JYR589874 KIN589874 KSJ589874 LCF589874 LMB589874 LVX589874 MFT589874 MPP589874 MZL589874 NJH589874 NTD589874 OCZ589874 OMV589874 OWR589874 PGN589874 PQJ589874 QAF589874 QKB589874 QTX589874 RDT589874 RNP589874 RXL589874 SHH589874 SRD589874 TAZ589874 TKV589874 TUR589874 UEN589874 UOJ589874 UYF589874 VIB589874 VRX589874 WBT589874 WLP589874 WVL589874 D655410 IZ655410 SV655410 ACR655410 AMN655410 AWJ655410 BGF655410 BQB655410 BZX655410 CJT655410 CTP655410 DDL655410 DNH655410 DXD655410 EGZ655410 EQV655410 FAR655410 FKN655410 FUJ655410 GEF655410 GOB655410 GXX655410 HHT655410 HRP655410 IBL655410 ILH655410 IVD655410 JEZ655410 JOV655410 JYR655410 KIN655410 KSJ655410 LCF655410 LMB655410 LVX655410 MFT655410 MPP655410 MZL655410 NJH655410 NTD655410 OCZ655410 OMV655410 OWR655410 PGN655410 PQJ655410 QAF655410 QKB655410 QTX655410 RDT655410 RNP655410 RXL655410 SHH655410 SRD655410 TAZ655410 TKV655410 TUR655410 UEN655410 UOJ655410 UYF655410 VIB655410 VRX655410 WBT655410 WLP655410 WVL655410 D720946 IZ720946 SV720946 ACR720946 AMN720946 AWJ720946 BGF720946 BQB720946 BZX720946 CJT720946 CTP720946 DDL720946 DNH720946 DXD720946 EGZ720946 EQV720946 FAR720946 FKN720946 FUJ720946 GEF720946 GOB720946 GXX720946 HHT720946 HRP720946 IBL720946 ILH720946 IVD720946 JEZ720946 JOV720946 JYR720946 KIN720946 KSJ720946 LCF720946 LMB720946 LVX720946 MFT720946 MPP720946 MZL720946 NJH720946 NTD720946 OCZ720946 OMV720946 OWR720946 PGN720946 PQJ720946 QAF720946 QKB720946 QTX720946 RDT720946 RNP720946 RXL720946 SHH720946 SRD720946 TAZ720946 TKV720946 TUR720946 UEN720946 UOJ720946 UYF720946 VIB720946 VRX720946 WBT720946 WLP720946 WVL720946 D786482 IZ786482 SV786482 ACR786482 AMN786482 AWJ786482 BGF786482 BQB786482 BZX786482 CJT786482 CTP786482 DDL786482 DNH786482 DXD786482 EGZ786482 EQV786482 FAR786482 FKN786482 FUJ786482 GEF786482 GOB786482 GXX786482 HHT786482 HRP786482 IBL786482 ILH786482 IVD786482 JEZ786482 JOV786482 JYR786482 KIN786482 KSJ786482 LCF786482 LMB786482 LVX786482 MFT786482 MPP786482 MZL786482 NJH786482 NTD786482 OCZ786482 OMV786482 OWR786482 PGN786482 PQJ786482 QAF786482 QKB786482 QTX786482 RDT786482 RNP786482 RXL786482 SHH786482 SRD786482 TAZ786482 TKV786482 TUR786482 UEN786482 UOJ786482 UYF786482 VIB786482 VRX786482 WBT786482 WLP786482 WVL786482 D852018 IZ852018 SV852018 ACR852018 AMN852018 AWJ852018 BGF852018 BQB852018 BZX852018 CJT852018 CTP852018 DDL852018 DNH852018 DXD852018 EGZ852018 EQV852018 FAR852018 FKN852018 FUJ852018 GEF852018 GOB852018 GXX852018 HHT852018 HRP852018 IBL852018 ILH852018 IVD852018 JEZ852018 JOV852018 JYR852018 KIN852018 KSJ852018 LCF852018 LMB852018 LVX852018 MFT852018 MPP852018 MZL852018 NJH852018 NTD852018 OCZ852018 OMV852018 OWR852018 PGN852018 PQJ852018 QAF852018 QKB852018 QTX852018 RDT852018 RNP852018 RXL852018 SHH852018 SRD852018 TAZ852018 TKV852018 TUR852018 UEN852018 UOJ852018 UYF852018 VIB852018 VRX852018 WBT852018 WLP852018 WVL852018 D917554 IZ917554 SV917554 ACR917554 AMN917554 AWJ917554 BGF917554 BQB917554 BZX917554 CJT917554 CTP917554 DDL917554 DNH917554 DXD917554 EGZ917554 EQV917554 FAR917554 FKN917554 FUJ917554 GEF917554 GOB917554 GXX917554 HHT917554 HRP917554 IBL917554 ILH917554 IVD917554 JEZ917554 JOV917554 JYR917554 KIN917554 KSJ917554 LCF917554 LMB917554 LVX917554 MFT917554 MPP917554 MZL917554 NJH917554 NTD917554 OCZ917554 OMV917554 OWR917554 PGN917554 PQJ917554 QAF917554 QKB917554 QTX917554 RDT917554 RNP917554 RXL917554 SHH917554 SRD917554 TAZ917554 TKV917554 TUR917554 UEN917554 UOJ917554 UYF917554 VIB917554 VRX917554 WBT917554 WLP917554 WVL917554 D983090 IZ983090 SV983090 ACR983090 AMN983090 AWJ983090 BGF983090 BQB983090 BZX983090 CJT983090 CTP983090 DDL983090 DNH983090 DXD983090 EGZ983090 EQV983090 FAR983090 FKN983090 FUJ983090 GEF983090 GOB983090 GXX983090 HHT983090 HRP983090 IBL983090 ILH983090 IVD983090 JEZ983090 JOV983090 JYR983090 KIN983090 KSJ983090 LCF983090 LMB983090 LVX983090 MFT983090 MPP983090 MZL983090 NJH983090 NTD983090 OCZ983090 OMV983090 OWR983090 PGN983090 PQJ983090 QAF983090 QKB983090 QTX983090 RDT983090 RNP983090 RXL983090 SHH983090 SRD983090 TAZ983090 TKV983090 TUR983090 UEN983090 UOJ983090 UYF983090 VIB983090 VRX983090 WBT983090 WLP983090 WVL983090" xr:uid="{00000000-0002-0000-0400-000001000000}"/>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B3:E89"/>
  <sheetViews>
    <sheetView workbookViewId="0">
      <selection activeCell="F12" sqref="F12"/>
    </sheetView>
  </sheetViews>
  <sheetFormatPr baseColWidth="10" defaultRowHeight="14.4" x14ac:dyDescent="0.3"/>
  <cols>
    <col min="1" max="1" width="5.44140625" customWidth="1"/>
    <col min="2" max="2" width="45.33203125" bestFit="1" customWidth="1"/>
    <col min="257" max="257" width="5.44140625" customWidth="1"/>
    <col min="258" max="258" width="45.33203125" bestFit="1" customWidth="1"/>
    <col min="513" max="513" width="5.44140625" customWidth="1"/>
    <col min="514" max="514" width="45.33203125" bestFit="1" customWidth="1"/>
    <col min="769" max="769" width="5.44140625" customWidth="1"/>
    <col min="770" max="770" width="45.33203125" bestFit="1" customWidth="1"/>
    <col min="1025" max="1025" width="5.44140625" customWidth="1"/>
    <col min="1026" max="1026" width="45.33203125" bestFit="1" customWidth="1"/>
    <col min="1281" max="1281" width="5.44140625" customWidth="1"/>
    <col min="1282" max="1282" width="45.33203125" bestFit="1" customWidth="1"/>
    <col min="1537" max="1537" width="5.44140625" customWidth="1"/>
    <col min="1538" max="1538" width="45.33203125" bestFit="1" customWidth="1"/>
    <col min="1793" max="1793" width="5.44140625" customWidth="1"/>
    <col min="1794" max="1794" width="45.33203125" bestFit="1" customWidth="1"/>
    <col min="2049" max="2049" width="5.44140625" customWidth="1"/>
    <col min="2050" max="2050" width="45.33203125" bestFit="1" customWidth="1"/>
    <col min="2305" max="2305" width="5.44140625" customWidth="1"/>
    <col min="2306" max="2306" width="45.33203125" bestFit="1" customWidth="1"/>
    <col min="2561" max="2561" width="5.44140625" customWidth="1"/>
    <col min="2562" max="2562" width="45.33203125" bestFit="1" customWidth="1"/>
    <col min="2817" max="2817" width="5.44140625" customWidth="1"/>
    <col min="2818" max="2818" width="45.33203125" bestFit="1" customWidth="1"/>
    <col min="3073" max="3073" width="5.44140625" customWidth="1"/>
    <col min="3074" max="3074" width="45.33203125" bestFit="1" customWidth="1"/>
    <col min="3329" max="3329" width="5.44140625" customWidth="1"/>
    <col min="3330" max="3330" width="45.33203125" bestFit="1" customWidth="1"/>
    <col min="3585" max="3585" width="5.44140625" customWidth="1"/>
    <col min="3586" max="3586" width="45.33203125" bestFit="1" customWidth="1"/>
    <col min="3841" max="3841" width="5.44140625" customWidth="1"/>
    <col min="3842" max="3842" width="45.33203125" bestFit="1" customWidth="1"/>
    <col min="4097" max="4097" width="5.44140625" customWidth="1"/>
    <col min="4098" max="4098" width="45.33203125" bestFit="1" customWidth="1"/>
    <col min="4353" max="4353" width="5.44140625" customWidth="1"/>
    <col min="4354" max="4354" width="45.33203125" bestFit="1" customWidth="1"/>
    <col min="4609" max="4609" width="5.44140625" customWidth="1"/>
    <col min="4610" max="4610" width="45.33203125" bestFit="1" customWidth="1"/>
    <col min="4865" max="4865" width="5.44140625" customWidth="1"/>
    <col min="4866" max="4866" width="45.33203125" bestFit="1" customWidth="1"/>
    <col min="5121" max="5121" width="5.44140625" customWidth="1"/>
    <col min="5122" max="5122" width="45.33203125" bestFit="1" customWidth="1"/>
    <col min="5377" max="5377" width="5.44140625" customWidth="1"/>
    <col min="5378" max="5378" width="45.33203125" bestFit="1" customWidth="1"/>
    <col min="5633" max="5633" width="5.44140625" customWidth="1"/>
    <col min="5634" max="5634" width="45.33203125" bestFit="1" customWidth="1"/>
    <col min="5889" max="5889" width="5.44140625" customWidth="1"/>
    <col min="5890" max="5890" width="45.33203125" bestFit="1" customWidth="1"/>
    <col min="6145" max="6145" width="5.44140625" customWidth="1"/>
    <col min="6146" max="6146" width="45.33203125" bestFit="1" customWidth="1"/>
    <col min="6401" max="6401" width="5.44140625" customWidth="1"/>
    <col min="6402" max="6402" width="45.33203125" bestFit="1" customWidth="1"/>
    <col min="6657" max="6657" width="5.44140625" customWidth="1"/>
    <col min="6658" max="6658" width="45.33203125" bestFit="1" customWidth="1"/>
    <col min="6913" max="6913" width="5.44140625" customWidth="1"/>
    <col min="6914" max="6914" width="45.33203125" bestFit="1" customWidth="1"/>
    <col min="7169" max="7169" width="5.44140625" customWidth="1"/>
    <col min="7170" max="7170" width="45.33203125" bestFit="1" customWidth="1"/>
    <col min="7425" max="7425" width="5.44140625" customWidth="1"/>
    <col min="7426" max="7426" width="45.33203125" bestFit="1" customWidth="1"/>
    <col min="7681" max="7681" width="5.44140625" customWidth="1"/>
    <col min="7682" max="7682" width="45.33203125" bestFit="1" customWidth="1"/>
    <col min="7937" max="7937" width="5.44140625" customWidth="1"/>
    <col min="7938" max="7938" width="45.33203125" bestFit="1" customWidth="1"/>
    <col min="8193" max="8193" width="5.44140625" customWidth="1"/>
    <col min="8194" max="8194" width="45.33203125" bestFit="1" customWidth="1"/>
    <col min="8449" max="8449" width="5.44140625" customWidth="1"/>
    <col min="8450" max="8450" width="45.33203125" bestFit="1" customWidth="1"/>
    <col min="8705" max="8705" width="5.44140625" customWidth="1"/>
    <col min="8706" max="8706" width="45.33203125" bestFit="1" customWidth="1"/>
    <col min="8961" max="8961" width="5.44140625" customWidth="1"/>
    <col min="8962" max="8962" width="45.33203125" bestFit="1" customWidth="1"/>
    <col min="9217" max="9217" width="5.44140625" customWidth="1"/>
    <col min="9218" max="9218" width="45.33203125" bestFit="1" customWidth="1"/>
    <col min="9473" max="9473" width="5.44140625" customWidth="1"/>
    <col min="9474" max="9474" width="45.33203125" bestFit="1" customWidth="1"/>
    <col min="9729" max="9729" width="5.44140625" customWidth="1"/>
    <col min="9730" max="9730" width="45.33203125" bestFit="1" customWidth="1"/>
    <col min="9985" max="9985" width="5.44140625" customWidth="1"/>
    <col min="9986" max="9986" width="45.33203125" bestFit="1" customWidth="1"/>
    <col min="10241" max="10241" width="5.44140625" customWidth="1"/>
    <col min="10242" max="10242" width="45.33203125" bestFit="1" customWidth="1"/>
    <col min="10497" max="10497" width="5.44140625" customWidth="1"/>
    <col min="10498" max="10498" width="45.33203125" bestFit="1" customWidth="1"/>
    <col min="10753" max="10753" width="5.44140625" customWidth="1"/>
    <col min="10754" max="10754" width="45.33203125" bestFit="1" customWidth="1"/>
    <col min="11009" max="11009" width="5.44140625" customWidth="1"/>
    <col min="11010" max="11010" width="45.33203125" bestFit="1" customWidth="1"/>
    <col min="11265" max="11265" width="5.44140625" customWidth="1"/>
    <col min="11266" max="11266" width="45.33203125" bestFit="1" customWidth="1"/>
    <col min="11521" max="11521" width="5.44140625" customWidth="1"/>
    <col min="11522" max="11522" width="45.33203125" bestFit="1" customWidth="1"/>
    <col min="11777" max="11777" width="5.44140625" customWidth="1"/>
    <col min="11778" max="11778" width="45.33203125" bestFit="1" customWidth="1"/>
    <col min="12033" max="12033" width="5.44140625" customWidth="1"/>
    <col min="12034" max="12034" width="45.33203125" bestFit="1" customWidth="1"/>
    <col min="12289" max="12289" width="5.44140625" customWidth="1"/>
    <col min="12290" max="12290" width="45.33203125" bestFit="1" customWidth="1"/>
    <col min="12545" max="12545" width="5.44140625" customWidth="1"/>
    <col min="12546" max="12546" width="45.33203125" bestFit="1" customWidth="1"/>
    <col min="12801" max="12801" width="5.44140625" customWidth="1"/>
    <col min="12802" max="12802" width="45.33203125" bestFit="1" customWidth="1"/>
    <col min="13057" max="13057" width="5.44140625" customWidth="1"/>
    <col min="13058" max="13058" width="45.33203125" bestFit="1" customWidth="1"/>
    <col min="13313" max="13313" width="5.44140625" customWidth="1"/>
    <col min="13314" max="13314" width="45.33203125" bestFit="1" customWidth="1"/>
    <col min="13569" max="13569" width="5.44140625" customWidth="1"/>
    <col min="13570" max="13570" width="45.33203125" bestFit="1" customWidth="1"/>
    <col min="13825" max="13825" width="5.44140625" customWidth="1"/>
    <col min="13826" max="13826" width="45.33203125" bestFit="1" customWidth="1"/>
    <col min="14081" max="14081" width="5.44140625" customWidth="1"/>
    <col min="14082" max="14082" width="45.33203125" bestFit="1" customWidth="1"/>
    <col min="14337" max="14337" width="5.44140625" customWidth="1"/>
    <col min="14338" max="14338" width="45.33203125" bestFit="1" customWidth="1"/>
    <col min="14593" max="14593" width="5.44140625" customWidth="1"/>
    <col min="14594" max="14594" width="45.33203125" bestFit="1" customWidth="1"/>
    <col min="14849" max="14849" width="5.44140625" customWidth="1"/>
    <col min="14850" max="14850" width="45.33203125" bestFit="1" customWidth="1"/>
    <col min="15105" max="15105" width="5.44140625" customWidth="1"/>
    <col min="15106" max="15106" width="45.33203125" bestFit="1" customWidth="1"/>
    <col min="15361" max="15361" width="5.44140625" customWidth="1"/>
    <col min="15362" max="15362" width="45.33203125" bestFit="1" customWidth="1"/>
    <col min="15617" max="15617" width="5.44140625" customWidth="1"/>
    <col min="15618" max="15618" width="45.33203125" bestFit="1" customWidth="1"/>
    <col min="15873" max="15873" width="5.44140625" customWidth="1"/>
    <col min="15874" max="15874" width="45.33203125" bestFit="1" customWidth="1"/>
    <col min="16129" max="16129" width="5.44140625" customWidth="1"/>
    <col min="16130" max="16130" width="45.33203125" bestFit="1" customWidth="1"/>
  </cols>
  <sheetData>
    <row r="3" spans="2:5" ht="15" thickBot="1" x14ac:dyDescent="0.35">
      <c r="B3" s="98" t="s">
        <v>82</v>
      </c>
      <c r="C3" s="99"/>
      <c r="D3" s="99"/>
      <c r="E3" s="100"/>
    </row>
    <row r="4" spans="2:5" ht="15" thickBot="1" x14ac:dyDescent="0.35">
      <c r="B4" s="101"/>
      <c r="C4" s="102" t="s">
        <v>1</v>
      </c>
      <c r="D4" s="103" t="s">
        <v>2</v>
      </c>
      <c r="E4" s="104" t="s">
        <v>3</v>
      </c>
    </row>
    <row r="5" spans="2:5" ht="15" thickTop="1" x14ac:dyDescent="0.3">
      <c r="B5" s="105" t="s">
        <v>83</v>
      </c>
      <c r="C5" s="106"/>
      <c r="D5" s="106"/>
      <c r="E5" s="107"/>
    </row>
    <row r="6" spans="2:5" x14ac:dyDescent="0.3">
      <c r="B6" s="108" t="s">
        <v>84</v>
      </c>
      <c r="C6" s="81"/>
      <c r="D6" s="81"/>
      <c r="E6" s="109"/>
    </row>
    <row r="7" spans="2:5" x14ac:dyDescent="0.3">
      <c r="B7" s="105" t="s">
        <v>85</v>
      </c>
      <c r="C7" s="106"/>
      <c r="D7" s="106"/>
      <c r="E7" s="107"/>
    </row>
    <row r="8" spans="2:5" x14ac:dyDescent="0.3">
      <c r="B8" s="110" t="s">
        <v>86</v>
      </c>
      <c r="C8" s="111"/>
      <c r="D8" s="111"/>
      <c r="E8" s="112"/>
    </row>
    <row r="9" spans="2:5" x14ac:dyDescent="0.3">
      <c r="C9" s="81"/>
      <c r="D9" s="81"/>
      <c r="E9" s="81"/>
    </row>
    <row r="10" spans="2:5" ht="15" thickBot="1" x14ac:dyDescent="0.35">
      <c r="B10" s="98" t="s">
        <v>87</v>
      </c>
      <c r="C10" s="99"/>
      <c r="D10" s="99"/>
      <c r="E10" s="100"/>
    </row>
    <row r="11" spans="2:5" ht="15" thickBot="1" x14ac:dyDescent="0.35">
      <c r="B11" s="101"/>
      <c r="C11" s="102" t="s">
        <v>1</v>
      </c>
      <c r="D11" s="103" t="s">
        <v>2</v>
      </c>
      <c r="E11" s="104" t="s">
        <v>3</v>
      </c>
    </row>
    <row r="12" spans="2:5" ht="15" thickTop="1" x14ac:dyDescent="0.3">
      <c r="B12" s="105" t="s">
        <v>88</v>
      </c>
      <c r="C12" s="106"/>
      <c r="D12" s="106"/>
      <c r="E12" s="107"/>
    </row>
    <row r="13" spans="2:5" x14ac:dyDescent="0.3">
      <c r="B13" s="108" t="s">
        <v>18</v>
      </c>
      <c r="C13" s="81"/>
      <c r="D13" s="81"/>
      <c r="E13" s="109"/>
    </row>
    <row r="14" spans="2:5" x14ac:dyDescent="0.3">
      <c r="B14" s="105" t="s">
        <v>11</v>
      </c>
      <c r="C14" s="106"/>
      <c r="D14" s="106"/>
      <c r="E14" s="107"/>
    </row>
    <row r="15" spans="2:5" x14ac:dyDescent="0.3">
      <c r="B15" s="110" t="s">
        <v>89</v>
      </c>
      <c r="C15" s="111"/>
      <c r="D15" s="111"/>
      <c r="E15" s="112"/>
    </row>
    <row r="16" spans="2:5" x14ac:dyDescent="0.3">
      <c r="C16" s="81"/>
      <c r="D16" s="81"/>
      <c r="E16" s="81"/>
    </row>
    <row r="17" spans="2:5" ht="15" thickBot="1" x14ac:dyDescent="0.35">
      <c r="B17" s="98" t="s">
        <v>90</v>
      </c>
      <c r="C17" s="99"/>
      <c r="D17" s="99"/>
      <c r="E17" s="100"/>
    </row>
    <row r="18" spans="2:5" ht="15" thickBot="1" x14ac:dyDescent="0.35">
      <c r="B18" s="101"/>
      <c r="C18" s="102" t="s">
        <v>1</v>
      </c>
      <c r="D18" s="103" t="s">
        <v>2</v>
      </c>
      <c r="E18" s="104" t="s">
        <v>3</v>
      </c>
    </row>
    <row r="19" spans="2:5" ht="15" thickTop="1" x14ac:dyDescent="0.3">
      <c r="B19" s="105" t="s">
        <v>91</v>
      </c>
      <c r="C19" s="106"/>
      <c r="D19" s="106"/>
      <c r="E19" s="107"/>
    </row>
    <row r="20" spans="2:5" x14ac:dyDescent="0.3">
      <c r="B20" s="108" t="s">
        <v>92</v>
      </c>
      <c r="C20" s="81"/>
      <c r="D20" s="81"/>
      <c r="E20" s="109"/>
    </row>
    <row r="21" spans="2:5" x14ac:dyDescent="0.3">
      <c r="B21" s="105" t="s">
        <v>93</v>
      </c>
      <c r="C21" s="106"/>
      <c r="D21" s="106"/>
      <c r="E21" s="107"/>
    </row>
    <row r="22" spans="2:5" x14ac:dyDescent="0.3">
      <c r="B22" s="110" t="s">
        <v>94</v>
      </c>
      <c r="C22" s="111"/>
      <c r="D22" s="111"/>
      <c r="E22" s="112"/>
    </row>
    <row r="23" spans="2:5" x14ac:dyDescent="0.3">
      <c r="C23" s="81"/>
      <c r="D23" s="81"/>
      <c r="E23" s="81"/>
    </row>
    <row r="24" spans="2:5" x14ac:dyDescent="0.3">
      <c r="B24" s="113" t="s">
        <v>95</v>
      </c>
      <c r="C24" s="114"/>
      <c r="D24" s="114"/>
      <c r="E24" s="115"/>
    </row>
    <row r="25" spans="2:5" ht="15" thickBot="1" x14ac:dyDescent="0.35">
      <c r="B25" s="116"/>
      <c r="C25" s="102" t="s">
        <v>1</v>
      </c>
      <c r="D25" s="103" t="s">
        <v>2</v>
      </c>
      <c r="E25" s="104" t="s">
        <v>3</v>
      </c>
    </row>
    <row r="26" spans="2:5" ht="15" thickTop="1" x14ac:dyDescent="0.3">
      <c r="B26" s="105" t="s">
        <v>96</v>
      </c>
      <c r="C26" s="117"/>
      <c r="D26" s="118"/>
      <c r="E26" s="119"/>
    </row>
    <row r="27" spans="2:5" x14ac:dyDescent="0.3">
      <c r="B27" s="108" t="s">
        <v>97</v>
      </c>
      <c r="D27" s="120"/>
      <c r="E27" s="121"/>
    </row>
    <row r="28" spans="2:5" x14ac:dyDescent="0.3">
      <c r="B28" s="105" t="s">
        <v>98</v>
      </c>
      <c r="C28" s="117"/>
      <c r="D28" s="118"/>
      <c r="E28" s="119"/>
    </row>
    <row r="29" spans="2:5" x14ac:dyDescent="0.3">
      <c r="B29" s="110" t="s">
        <v>99</v>
      </c>
      <c r="C29" s="89"/>
      <c r="D29" s="122"/>
      <c r="E29" s="123"/>
    </row>
    <row r="31" spans="2:5" x14ac:dyDescent="0.3">
      <c r="B31" s="113" t="s">
        <v>100</v>
      </c>
      <c r="C31" s="114"/>
      <c r="D31" s="114"/>
      <c r="E31" s="115"/>
    </row>
    <row r="32" spans="2:5" ht="15" thickBot="1" x14ac:dyDescent="0.35">
      <c r="B32" s="116"/>
      <c r="C32" s="102" t="s">
        <v>1</v>
      </c>
      <c r="D32" s="103" t="s">
        <v>2</v>
      </c>
      <c r="E32" s="104" t="s">
        <v>3</v>
      </c>
    </row>
    <row r="33" spans="2:5" ht="15" thickTop="1" x14ac:dyDescent="0.3">
      <c r="B33" s="105" t="s">
        <v>101</v>
      </c>
      <c r="C33" s="117"/>
      <c r="D33" s="118"/>
      <c r="E33" s="119"/>
    </row>
    <row r="34" spans="2:5" x14ac:dyDescent="0.3">
      <c r="B34" s="108" t="s">
        <v>102</v>
      </c>
      <c r="D34" s="120"/>
      <c r="E34" s="121"/>
    </row>
    <row r="35" spans="2:5" x14ac:dyDescent="0.3">
      <c r="B35" s="105" t="s">
        <v>103</v>
      </c>
      <c r="C35" s="117"/>
      <c r="D35" s="118"/>
      <c r="E35" s="119"/>
    </row>
    <row r="36" spans="2:5" x14ac:dyDescent="0.3">
      <c r="B36" s="110" t="s">
        <v>104</v>
      </c>
      <c r="C36" s="89"/>
      <c r="D36" s="122"/>
      <c r="E36" s="123"/>
    </row>
    <row r="38" spans="2:5" x14ac:dyDescent="0.3">
      <c r="B38" s="113" t="s">
        <v>105</v>
      </c>
      <c r="C38" s="114"/>
      <c r="D38" s="114"/>
      <c r="E38" s="115"/>
    </row>
    <row r="39" spans="2:5" ht="15" thickBot="1" x14ac:dyDescent="0.35">
      <c r="B39" s="116"/>
      <c r="C39" s="102" t="s">
        <v>1</v>
      </c>
      <c r="D39" s="103" t="s">
        <v>2</v>
      </c>
      <c r="E39" s="104" t="s">
        <v>3</v>
      </c>
    </row>
    <row r="40" spans="2:5" ht="15" thickTop="1" x14ac:dyDescent="0.3">
      <c r="B40" s="105" t="s">
        <v>96</v>
      </c>
      <c r="C40" s="117"/>
      <c r="D40" s="118"/>
      <c r="E40" s="119"/>
    </row>
    <row r="41" spans="2:5" x14ac:dyDescent="0.3">
      <c r="B41" s="108" t="s">
        <v>106</v>
      </c>
      <c r="D41" s="120"/>
      <c r="E41" s="121"/>
    </row>
    <row r="42" spans="2:5" x14ac:dyDescent="0.3">
      <c r="B42" s="105" t="s">
        <v>107</v>
      </c>
      <c r="C42" s="117"/>
      <c r="D42" s="118"/>
      <c r="E42" s="119"/>
    </row>
    <row r="43" spans="2:5" x14ac:dyDescent="0.3">
      <c r="B43" s="110" t="s">
        <v>108</v>
      </c>
      <c r="C43" s="89"/>
      <c r="D43" s="122"/>
      <c r="E43" s="123"/>
    </row>
    <row r="45" spans="2:5" x14ac:dyDescent="0.3">
      <c r="B45" s="124" t="s">
        <v>109</v>
      </c>
      <c r="C45" s="125"/>
      <c r="D45" s="125"/>
      <c r="E45" s="126"/>
    </row>
    <row r="46" spans="2:5" x14ac:dyDescent="0.3">
      <c r="B46" s="116"/>
      <c r="C46" s="127" t="s">
        <v>1</v>
      </c>
      <c r="D46" s="128" t="s">
        <v>2</v>
      </c>
      <c r="E46" s="129" t="s">
        <v>3</v>
      </c>
    </row>
    <row r="47" spans="2:5" x14ac:dyDescent="0.3">
      <c r="B47" s="105" t="s">
        <v>110</v>
      </c>
      <c r="C47" s="130"/>
      <c r="D47" s="118"/>
      <c r="E47" s="119"/>
    </row>
    <row r="48" spans="2:5" x14ac:dyDescent="0.3">
      <c r="B48" s="108" t="s">
        <v>111</v>
      </c>
      <c r="C48" s="131"/>
      <c r="D48" s="131"/>
      <c r="E48" s="132"/>
    </row>
    <row r="49" spans="2:5" x14ac:dyDescent="0.3">
      <c r="B49" s="105" t="s">
        <v>112</v>
      </c>
      <c r="C49" s="133"/>
      <c r="D49" s="133"/>
      <c r="E49" s="134"/>
    </row>
    <row r="50" spans="2:5" x14ac:dyDescent="0.3">
      <c r="B50" s="110" t="s">
        <v>113</v>
      </c>
      <c r="C50" s="135"/>
      <c r="D50" s="135"/>
      <c r="E50" s="136"/>
    </row>
    <row r="51" spans="2:5" x14ac:dyDescent="0.3">
      <c r="B51" s="137"/>
      <c r="C51" s="131"/>
      <c r="D51" s="131"/>
      <c r="E51" s="131"/>
    </row>
    <row r="53" spans="2:5" ht="15" thickBot="1" x14ac:dyDescent="0.35">
      <c r="B53" s="141" t="s">
        <v>115</v>
      </c>
      <c r="C53" s="142"/>
      <c r="D53" s="142"/>
      <c r="E53" s="143"/>
    </row>
    <row r="54" spans="2:5" ht="15" thickBot="1" x14ac:dyDescent="0.35">
      <c r="B54" s="116" t="s">
        <v>116</v>
      </c>
      <c r="C54" s="102" t="s">
        <v>1</v>
      </c>
      <c r="D54" s="103" t="s">
        <v>2</v>
      </c>
      <c r="E54" s="104" t="s">
        <v>3</v>
      </c>
    </row>
    <row r="55" spans="2:5" ht="15" thickTop="1" x14ac:dyDescent="0.3">
      <c r="B55" s="105" t="s">
        <v>114</v>
      </c>
      <c r="C55" s="130"/>
      <c r="D55" s="130"/>
      <c r="E55" s="144"/>
    </row>
    <row r="56" spans="2:5" x14ac:dyDescent="0.3">
      <c r="B56" s="108" t="s">
        <v>117</v>
      </c>
      <c r="D56" s="120"/>
      <c r="E56" s="121"/>
    </row>
    <row r="57" spans="2:5" x14ac:dyDescent="0.3">
      <c r="B57" s="145" t="s">
        <v>118</v>
      </c>
      <c r="C57" s="146"/>
      <c r="D57" s="147"/>
      <c r="E57" s="148"/>
    </row>
    <row r="59" spans="2:5" ht="15" thickBot="1" x14ac:dyDescent="0.35">
      <c r="B59" s="138" t="s">
        <v>119</v>
      </c>
      <c r="C59" s="139"/>
      <c r="D59" s="139"/>
      <c r="E59" s="140"/>
    </row>
    <row r="60" spans="2:5" ht="15" thickBot="1" x14ac:dyDescent="0.35">
      <c r="B60" s="116"/>
      <c r="C60" s="102" t="s">
        <v>1</v>
      </c>
      <c r="D60" s="103" t="s">
        <v>2</v>
      </c>
      <c r="E60" s="104" t="s">
        <v>3</v>
      </c>
    </row>
    <row r="61" spans="2:5" ht="15" thickTop="1" x14ac:dyDescent="0.3">
      <c r="B61" s="105" t="s">
        <v>120</v>
      </c>
      <c r="C61" s="117"/>
      <c r="D61" s="118"/>
      <c r="E61" s="119"/>
    </row>
    <row r="62" spans="2:5" x14ac:dyDescent="0.3">
      <c r="B62" s="108" t="s">
        <v>121</v>
      </c>
      <c r="D62" s="120"/>
      <c r="E62" s="121"/>
    </row>
    <row r="63" spans="2:5" x14ac:dyDescent="0.3">
      <c r="B63" s="105" t="s">
        <v>122</v>
      </c>
      <c r="C63" s="117"/>
      <c r="D63" s="118"/>
      <c r="E63" s="119"/>
    </row>
    <row r="64" spans="2:5" x14ac:dyDescent="0.3">
      <c r="B64" s="108" t="s">
        <v>123</v>
      </c>
      <c r="D64" s="120"/>
      <c r="E64" s="121"/>
    </row>
    <row r="65" spans="2:5" x14ac:dyDescent="0.3">
      <c r="B65" s="110" t="s">
        <v>124</v>
      </c>
      <c r="C65" s="89"/>
      <c r="D65" s="122"/>
      <c r="E65" s="123"/>
    </row>
    <row r="66" spans="2:5" x14ac:dyDescent="0.3">
      <c r="B66" s="137"/>
      <c r="D66" s="120"/>
      <c r="E66" s="120"/>
    </row>
    <row r="67" spans="2:5" x14ac:dyDescent="0.3">
      <c r="B67" s="149" t="s">
        <v>125</v>
      </c>
      <c r="C67" s="150"/>
      <c r="D67" s="151"/>
      <c r="E67" s="152"/>
    </row>
    <row r="68" spans="2:5" x14ac:dyDescent="0.3">
      <c r="B68" s="108" t="s">
        <v>126</v>
      </c>
      <c r="D68" s="120"/>
      <c r="E68" s="121"/>
    </row>
    <row r="69" spans="2:5" x14ac:dyDescent="0.3">
      <c r="B69" s="105" t="s">
        <v>127</v>
      </c>
      <c r="C69" s="117"/>
      <c r="D69" s="118"/>
      <c r="E69" s="119"/>
    </row>
    <row r="70" spans="2:5" x14ac:dyDescent="0.3">
      <c r="B70" s="108" t="s">
        <v>128</v>
      </c>
      <c r="D70" s="120"/>
      <c r="E70" s="121"/>
    </row>
    <row r="71" spans="2:5" x14ac:dyDescent="0.3">
      <c r="B71" s="145" t="s">
        <v>129</v>
      </c>
      <c r="C71" s="146"/>
      <c r="D71" s="147"/>
      <c r="E71" s="148"/>
    </row>
    <row r="72" spans="2:5" x14ac:dyDescent="0.3">
      <c r="B72" s="137"/>
      <c r="D72" s="120"/>
      <c r="E72" s="120"/>
    </row>
    <row r="73" spans="2:5" ht="15" thickBot="1" x14ac:dyDescent="0.35">
      <c r="B73" s="153" t="s">
        <v>130</v>
      </c>
      <c r="C73" s="154"/>
      <c r="D73" s="154"/>
      <c r="E73" s="155"/>
    </row>
    <row r="74" spans="2:5" ht="15" thickBot="1" x14ac:dyDescent="0.35">
      <c r="B74" s="156"/>
      <c r="C74" s="102" t="s">
        <v>1</v>
      </c>
      <c r="D74" s="157" t="s">
        <v>2</v>
      </c>
      <c r="E74" s="158" t="s">
        <v>3</v>
      </c>
    </row>
    <row r="75" spans="2:5" ht="15" thickTop="1" x14ac:dyDescent="0.3">
      <c r="B75" s="105" t="s">
        <v>18</v>
      </c>
      <c r="C75" s="117"/>
      <c r="D75" s="118"/>
      <c r="E75" s="119"/>
    </row>
    <row r="76" spans="2:5" x14ac:dyDescent="0.3">
      <c r="B76" s="108" t="s">
        <v>11</v>
      </c>
      <c r="D76" s="120"/>
      <c r="E76" s="121"/>
    </row>
    <row r="77" spans="2:5" x14ac:dyDescent="0.3">
      <c r="B77" s="105" t="s">
        <v>131</v>
      </c>
      <c r="C77" s="117"/>
      <c r="D77" s="118"/>
      <c r="E77" s="119"/>
    </row>
    <row r="78" spans="2:5" x14ac:dyDescent="0.3">
      <c r="B78" s="108" t="s">
        <v>14</v>
      </c>
      <c r="D78" s="120"/>
      <c r="E78" s="121"/>
    </row>
    <row r="79" spans="2:5" x14ac:dyDescent="0.3">
      <c r="B79" s="145" t="s">
        <v>132</v>
      </c>
      <c r="C79" s="146"/>
      <c r="D79" s="147"/>
      <c r="E79" s="148"/>
    </row>
    <row r="80" spans="2:5" x14ac:dyDescent="0.3">
      <c r="B80" s="137"/>
      <c r="D80" s="120"/>
      <c r="E80" s="120"/>
    </row>
    <row r="81" spans="2:5" x14ac:dyDescent="0.3">
      <c r="B81" s="159"/>
      <c r="C81" s="159"/>
      <c r="D81" s="159"/>
      <c r="E81" s="159"/>
    </row>
    <row r="82" spans="2:5" x14ac:dyDescent="0.3">
      <c r="B82" s="137"/>
      <c r="C82" s="137"/>
      <c r="D82" s="160"/>
      <c r="E82" s="160"/>
    </row>
    <row r="83" spans="2:5" x14ac:dyDescent="0.3">
      <c r="B83" s="137"/>
      <c r="D83" s="120"/>
      <c r="E83" s="120"/>
    </row>
    <row r="84" spans="2:5" x14ac:dyDescent="0.3">
      <c r="B84" s="137"/>
      <c r="D84" s="120"/>
      <c r="E84" s="120"/>
    </row>
    <row r="85" spans="2:5" x14ac:dyDescent="0.3">
      <c r="B85" s="137"/>
      <c r="D85" s="120"/>
      <c r="E85" s="120"/>
    </row>
    <row r="86" spans="2:5" x14ac:dyDescent="0.3">
      <c r="B86" s="137"/>
      <c r="D86" s="120"/>
      <c r="E86" s="120"/>
    </row>
    <row r="87" spans="2:5" x14ac:dyDescent="0.3">
      <c r="B87" s="137"/>
      <c r="D87" s="120"/>
      <c r="E87" s="120"/>
    </row>
    <row r="88" spans="2:5" x14ac:dyDescent="0.3">
      <c r="B88" s="137"/>
      <c r="D88" s="120"/>
      <c r="E88" s="120"/>
    </row>
    <row r="89" spans="2:5" x14ac:dyDescent="0.3">
      <c r="B89" s="137"/>
      <c r="D89" s="120"/>
      <c r="E89" s="12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DATOS</vt:lpstr>
      <vt:lpstr>ESTADO DE RESULTADOS</vt:lpstr>
      <vt:lpstr>ESTADO DE SITUACION FINANCIERA</vt:lpstr>
      <vt:lpstr>A V Y H DE ESTADO DE RESULTADOS</vt:lpstr>
      <vt:lpstr>A V Y H DEL EST. SITUA FRA.</vt:lpstr>
      <vt:lpstr>INDICADORES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dc:creator>
  <cp:lastModifiedBy>Filocaris Triana Pinzón</cp:lastModifiedBy>
  <dcterms:created xsi:type="dcterms:W3CDTF">2017-09-16T15:48:37Z</dcterms:created>
  <dcterms:modified xsi:type="dcterms:W3CDTF">2025-08-19T21:33:08Z</dcterms:modified>
</cp:coreProperties>
</file>