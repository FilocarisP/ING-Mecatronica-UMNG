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ocuments\"/>
    </mc:Choice>
  </mc:AlternateContent>
  <xr:revisionPtr revIDLastSave="0" documentId="8_{CC2E41AB-F1C6-44AD-9584-AA8DDD7FCC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2" i="1" s="1"/>
  <c r="D5" i="1"/>
  <c r="D7" i="1" s="1"/>
  <c r="B76" i="1" l="1"/>
  <c r="B79" i="1"/>
  <c r="B83" i="1"/>
  <c r="B75" i="1"/>
  <c r="B80" i="1"/>
  <c r="B84" i="1"/>
  <c r="B72" i="1"/>
  <c r="B81" i="1"/>
  <c r="B74" i="1"/>
  <c r="B82" i="1"/>
  <c r="B73" i="1"/>
  <c r="B77" i="1"/>
  <c r="B78" i="1"/>
  <c r="B14" i="1"/>
  <c r="B12" i="1"/>
  <c r="B69" i="1"/>
  <c r="B65" i="1"/>
  <c r="B61" i="1"/>
  <c r="B57" i="1"/>
  <c r="B53" i="1"/>
  <c r="B49" i="1"/>
  <c r="B45" i="1"/>
  <c r="B41" i="1"/>
  <c r="B37" i="1"/>
  <c r="B33" i="1"/>
  <c r="B29" i="1"/>
  <c r="B25" i="1"/>
  <c r="B21" i="1"/>
  <c r="B17" i="1"/>
  <c r="B13" i="1"/>
  <c r="C12" i="1"/>
  <c r="E12" i="1" s="1"/>
  <c r="D13" i="1" s="1"/>
  <c r="B68" i="1"/>
  <c r="B64" i="1"/>
  <c r="B60" i="1"/>
  <c r="B56" i="1"/>
  <c r="B52" i="1"/>
  <c r="B48" i="1"/>
  <c r="B44" i="1"/>
  <c r="B40" i="1"/>
  <c r="B36" i="1"/>
  <c r="B32" i="1"/>
  <c r="B28" i="1"/>
  <c r="B24" i="1"/>
  <c r="B20" i="1"/>
  <c r="B16" i="1"/>
  <c r="B71" i="1"/>
  <c r="B67" i="1"/>
  <c r="B63" i="1"/>
  <c r="B59" i="1"/>
  <c r="B55" i="1"/>
  <c r="B51" i="1"/>
  <c r="B47" i="1"/>
  <c r="B43" i="1"/>
  <c r="B39" i="1"/>
  <c r="B35" i="1"/>
  <c r="B31" i="1"/>
  <c r="B27" i="1"/>
  <c r="B23" i="1"/>
  <c r="B19" i="1"/>
  <c r="B15" i="1"/>
  <c r="B70" i="1"/>
  <c r="B66" i="1"/>
  <c r="B62" i="1"/>
  <c r="B58" i="1"/>
  <c r="B54" i="1"/>
  <c r="B50" i="1"/>
  <c r="B46" i="1"/>
  <c r="B42" i="1"/>
  <c r="B38" i="1"/>
  <c r="B34" i="1"/>
  <c r="B30" i="1"/>
  <c r="B26" i="1"/>
  <c r="B22" i="1"/>
  <c r="B18" i="1"/>
  <c r="C13" i="1" l="1"/>
  <c r="E13" i="1" s="1"/>
  <c r="D14" i="1" s="1"/>
  <c r="C14" i="1" s="1"/>
  <c r="E14" i="1" s="1"/>
  <c r="D15" i="1" s="1"/>
  <c r="C15" i="1" s="1"/>
  <c r="E15" i="1" s="1"/>
  <c r="D16" i="1" l="1"/>
  <c r="C16" i="1" s="1"/>
  <c r="E16" i="1" s="1"/>
  <c r="D17" i="1" l="1"/>
  <c r="C17" i="1" s="1"/>
  <c r="E17" i="1" s="1"/>
  <c r="D18" i="1" l="1"/>
  <c r="C18" i="1" s="1"/>
  <c r="E18" i="1" s="1"/>
  <c r="D19" i="1" l="1"/>
  <c r="C19" i="1" s="1"/>
  <c r="E19" i="1" s="1"/>
  <c r="D20" i="1" l="1"/>
  <c r="C20" i="1" s="1"/>
  <c r="E20" i="1" s="1"/>
  <c r="D21" i="1" l="1"/>
  <c r="C21" i="1" s="1"/>
  <c r="E21" i="1" s="1"/>
  <c r="D22" i="1" l="1"/>
  <c r="C22" i="1" s="1"/>
  <c r="E22" i="1" s="1"/>
  <c r="D23" i="1" l="1"/>
  <c r="C23" i="1" s="1"/>
  <c r="E23" i="1" s="1"/>
  <c r="D24" i="1" l="1"/>
  <c r="C24" i="1" s="1"/>
  <c r="E24" i="1" s="1"/>
  <c r="D25" i="1" l="1"/>
  <c r="C25" i="1" s="1"/>
  <c r="E25" i="1" s="1"/>
  <c r="D26" i="1" l="1"/>
  <c r="C26" i="1" s="1"/>
  <c r="E26" i="1" s="1"/>
  <c r="D27" i="1" l="1"/>
  <c r="C27" i="1" s="1"/>
  <c r="E27" i="1" s="1"/>
  <c r="D28" i="1" l="1"/>
  <c r="C28" i="1" s="1"/>
  <c r="E28" i="1" s="1"/>
  <c r="D29" i="1" l="1"/>
  <c r="C29" i="1" s="1"/>
  <c r="E29" i="1" s="1"/>
  <c r="D30" i="1" l="1"/>
  <c r="C30" i="1" s="1"/>
  <c r="E30" i="1" s="1"/>
  <c r="D31" i="1" l="1"/>
  <c r="C31" i="1" s="1"/>
  <c r="E31" i="1" s="1"/>
  <c r="D32" i="1" l="1"/>
  <c r="C32" i="1" s="1"/>
  <c r="E32" i="1" s="1"/>
  <c r="D33" i="1" l="1"/>
  <c r="C33" i="1" s="1"/>
  <c r="E33" i="1" s="1"/>
  <c r="D34" i="1" l="1"/>
  <c r="C34" i="1" s="1"/>
  <c r="E34" i="1" s="1"/>
  <c r="D35" i="1" l="1"/>
  <c r="C35" i="1" s="1"/>
  <c r="E35" i="1" s="1"/>
  <c r="D36" i="1" l="1"/>
  <c r="C36" i="1" s="1"/>
  <c r="E36" i="1"/>
  <c r="D37" i="1" l="1"/>
  <c r="C37" i="1" s="1"/>
  <c r="E37" i="1" s="1"/>
  <c r="D38" i="1" l="1"/>
  <c r="C38" i="1" s="1"/>
  <c r="E38" i="1" s="1"/>
  <c r="D39" i="1" l="1"/>
  <c r="C39" i="1" s="1"/>
  <c r="E39" i="1" s="1"/>
  <c r="D40" i="1" l="1"/>
  <c r="C40" i="1" s="1"/>
  <c r="E40" i="1" s="1"/>
  <c r="D41" i="1" l="1"/>
  <c r="C41" i="1" s="1"/>
  <c r="E41" i="1" s="1"/>
  <c r="D42" i="1" l="1"/>
  <c r="C42" i="1" s="1"/>
  <c r="E42" i="1" s="1"/>
  <c r="D43" i="1" l="1"/>
  <c r="C43" i="1" s="1"/>
  <c r="E43" i="1"/>
  <c r="D44" i="1" l="1"/>
  <c r="C44" i="1" s="1"/>
  <c r="E44" i="1"/>
  <c r="D45" i="1" l="1"/>
  <c r="C45" i="1" s="1"/>
  <c r="E45" i="1" s="1"/>
  <c r="D46" i="1" l="1"/>
  <c r="C46" i="1" s="1"/>
  <c r="E46" i="1" s="1"/>
  <c r="D47" i="1" l="1"/>
  <c r="C47" i="1" s="1"/>
  <c r="E47" i="1" s="1"/>
  <c r="D48" i="1" l="1"/>
  <c r="C48" i="1" s="1"/>
  <c r="E48" i="1" s="1"/>
  <c r="D49" i="1" l="1"/>
  <c r="C49" i="1" s="1"/>
  <c r="E49" i="1"/>
  <c r="D50" i="1" l="1"/>
  <c r="C50" i="1" s="1"/>
  <c r="E50" i="1" s="1"/>
  <c r="D51" i="1" l="1"/>
  <c r="C51" i="1" s="1"/>
  <c r="E51" i="1" s="1"/>
  <c r="D52" i="1" l="1"/>
  <c r="C52" i="1" s="1"/>
  <c r="E52" i="1" s="1"/>
  <c r="D53" i="1" l="1"/>
  <c r="C53" i="1" s="1"/>
  <c r="E53" i="1" s="1"/>
  <c r="D54" i="1" l="1"/>
  <c r="C54" i="1" s="1"/>
  <c r="E54" i="1" s="1"/>
  <c r="D55" i="1" l="1"/>
  <c r="C55" i="1" s="1"/>
  <c r="E55" i="1"/>
  <c r="D56" i="1" l="1"/>
  <c r="C56" i="1" s="1"/>
  <c r="E56" i="1" s="1"/>
  <c r="D57" i="1" l="1"/>
  <c r="C57" i="1" s="1"/>
  <c r="E57" i="1" s="1"/>
  <c r="D58" i="1" l="1"/>
  <c r="C58" i="1" s="1"/>
  <c r="E58" i="1" s="1"/>
  <c r="D59" i="1" l="1"/>
  <c r="C59" i="1" s="1"/>
  <c r="E59" i="1" s="1"/>
  <c r="D60" i="1" l="1"/>
  <c r="C60" i="1" s="1"/>
  <c r="E60" i="1" s="1"/>
  <c r="D61" i="1" l="1"/>
  <c r="C61" i="1" s="1"/>
  <c r="E61" i="1" s="1"/>
  <c r="D62" i="1" l="1"/>
  <c r="C62" i="1" s="1"/>
  <c r="E62" i="1" s="1"/>
  <c r="D63" i="1" l="1"/>
  <c r="C63" i="1" s="1"/>
  <c r="E63" i="1" s="1"/>
  <c r="D64" i="1" l="1"/>
  <c r="C64" i="1" s="1"/>
  <c r="E64" i="1"/>
  <c r="D65" i="1" l="1"/>
  <c r="C65" i="1" s="1"/>
  <c r="E65" i="1" s="1"/>
  <c r="D66" i="1" l="1"/>
  <c r="C66" i="1" s="1"/>
  <c r="E66" i="1" s="1"/>
  <c r="D67" i="1" l="1"/>
  <c r="C67" i="1" s="1"/>
  <c r="E67" i="1" s="1"/>
  <c r="D68" i="1" l="1"/>
  <c r="C68" i="1" s="1"/>
  <c r="E68" i="1" s="1"/>
  <c r="D69" i="1" l="1"/>
  <c r="C69" i="1" s="1"/>
  <c r="E69" i="1"/>
  <c r="D70" i="1" l="1"/>
  <c r="C70" i="1" s="1"/>
  <c r="E70" i="1" s="1"/>
  <c r="D71" i="1" l="1"/>
  <c r="C71" i="1" s="1"/>
  <c r="E71" i="1" s="1"/>
  <c r="D72" i="1" s="1"/>
  <c r="C72" i="1" s="1"/>
  <c r="E72" i="1" s="1"/>
  <c r="D73" i="1" s="1"/>
  <c r="C73" i="1" s="1"/>
  <c r="E73" i="1" s="1"/>
  <c r="D74" i="1" s="1"/>
  <c r="C74" i="1" s="1"/>
  <c r="E74" i="1" s="1"/>
  <c r="D75" i="1" s="1"/>
  <c r="C75" i="1" s="1"/>
  <c r="E75" i="1" s="1"/>
  <c r="D76" i="1" s="1"/>
  <c r="C76" i="1" s="1"/>
  <c r="E76" i="1" s="1"/>
  <c r="D77" i="1" s="1"/>
  <c r="C77" i="1" s="1"/>
  <c r="E77" i="1" s="1"/>
  <c r="D78" i="1" l="1"/>
  <c r="C78" i="1" s="1"/>
  <c r="E78" i="1"/>
  <c r="D79" i="1" l="1"/>
  <c r="C79" i="1" s="1"/>
  <c r="E79" i="1"/>
  <c r="D80" i="1" s="1"/>
  <c r="C80" i="1" s="1"/>
  <c r="E80" i="1" s="1"/>
  <c r="D81" i="1" l="1"/>
  <c r="C81" i="1" s="1"/>
  <c r="E81" i="1"/>
  <c r="D82" i="1" s="1"/>
  <c r="C82" i="1" s="1"/>
  <c r="E82" i="1" s="1"/>
  <c r="D83" i="1" s="1"/>
  <c r="C83" i="1" s="1"/>
  <c r="E83" i="1" s="1"/>
  <c r="D84" i="1" l="1"/>
  <c r="C84" i="1" s="1"/>
  <c r="E84" i="1"/>
</calcChain>
</file>

<file path=xl/sharedStrings.xml><?xml version="1.0" encoding="utf-8"?>
<sst xmlns="http://schemas.openxmlformats.org/spreadsheetml/2006/main" count="18" uniqueCount="17">
  <si>
    <t>Valor total del prestado</t>
  </si>
  <si>
    <t>Frecuencia</t>
  </si>
  <si>
    <t>Tasa de interes anual</t>
  </si>
  <si>
    <t>Mensual</t>
  </si>
  <si>
    <t>Tiempo (años)</t>
  </si>
  <si>
    <t>Bimensual</t>
  </si>
  <si>
    <t>Trimestral</t>
  </si>
  <si>
    <t xml:space="preserve">Periodos (mensualidades </t>
  </si>
  <si>
    <t>Cuatrimestral</t>
  </si>
  <si>
    <t>Semestral</t>
  </si>
  <si>
    <t>Cuota nivelatoria (mensual)</t>
  </si>
  <si>
    <t>Anual</t>
  </si>
  <si>
    <t>No.</t>
  </si>
  <si>
    <t>Cuotas</t>
  </si>
  <si>
    <t>Capital</t>
  </si>
  <si>
    <t>Intereses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</si>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</sst>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;[Red]\-&quot;$&quot;#,##0.00"/>
    <numFmt numFmtId="165" formatCode="#,##0_ ;\-#,##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9" fontId="3" fillId="0" borderId="0" xfId="0" applyNumberFormat="1" applyFont="1"/>
    <xf numFmtId="0" fontId="3" fillId="0" borderId="0" xfId="0" applyFont="1"/>
    <xf numFmtId="0" fontId="3" fillId="3" borderId="0" xfId="0" applyFont="1" applyFill="1"/>
    <xf numFmtId="164" fontId="0" fillId="0" borderId="0" xfId="0" applyNumberFormat="1"/>
    <xf numFmtId="165" fontId="3" fillId="0" borderId="0" xfId="1" applyNumberFormat="1" applyFont="1"/>
    <xf numFmtId="165" fontId="0" fillId="0" borderId="0" xfId="0" applyNumberFormat="1"/>
    <xf numFmtId="164" fontId="2" fillId="4" borderId="0" xfId="0" applyNumberFormat="1" applyFont="1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selection activeCell="D4" sqref="D4"/>
    </sheetView>
  </sheetViews>
  <sheetFormatPr baseColWidth="10" defaultColWidth="11.42578125" defaultRowHeight="15" x14ac:dyDescent="0.25"/>
  <cols>
    <col min="2" max="2" width="14.7109375" bestFit="1" customWidth="1"/>
    <col min="3" max="3" width="18.42578125" bestFit="1" customWidth="1"/>
    <col min="4" max="4" width="19.140625" bestFit="1" customWidth="1"/>
    <col min="5" max="5" width="14.42578125" bestFit="1" customWidth="1"/>
    <col min="7" max="7" width="13" bestFit="1" customWidth="1"/>
  </cols>
  <sheetData>
    <row r="1" spans="1:8" x14ac:dyDescent="0.25">
      <c r="A1" t="s">
        <v>0</v>
      </c>
      <c r="D1" s="7">
        <v>165000000</v>
      </c>
      <c r="G1" s="11" t="s">
        <v>1</v>
      </c>
      <c r="H1" s="11"/>
    </row>
    <row r="2" spans="1:8" x14ac:dyDescent="0.25">
      <c r="A2" t="s">
        <v>2</v>
      </c>
      <c r="D2" s="3">
        <v>0.17599999999999999</v>
      </c>
      <c r="G2" s="1" t="s">
        <v>3</v>
      </c>
      <c r="H2" s="1">
        <v>12</v>
      </c>
    </row>
    <row r="3" spans="1:8" x14ac:dyDescent="0.25">
      <c r="A3" t="s">
        <v>4</v>
      </c>
      <c r="D3" s="4">
        <v>10</v>
      </c>
      <c r="G3" s="1" t="s">
        <v>5</v>
      </c>
      <c r="H3" s="1">
        <v>6</v>
      </c>
    </row>
    <row r="4" spans="1:8" x14ac:dyDescent="0.25">
      <c r="A4" t="s">
        <v>1</v>
      </c>
      <c r="D4" s="4">
        <v>12</v>
      </c>
      <c r="G4" s="1" t="s">
        <v>6</v>
      </c>
      <c r="H4" s="1">
        <v>4</v>
      </c>
    </row>
    <row r="5" spans="1:8" x14ac:dyDescent="0.25">
      <c r="A5" t="s">
        <v>7</v>
      </c>
      <c r="D5">
        <f>D3*D4</f>
        <v>120</v>
      </c>
      <c r="G5" s="1" t="s">
        <v>8</v>
      </c>
      <c r="H5" s="1">
        <v>3</v>
      </c>
    </row>
    <row r="6" spans="1:8" x14ac:dyDescent="0.25">
      <c r="G6" s="1" t="s">
        <v>9</v>
      </c>
      <c r="H6" s="1">
        <v>2</v>
      </c>
    </row>
    <row r="7" spans="1:8" x14ac:dyDescent="0.25">
      <c r="A7" t="s">
        <v>10</v>
      </c>
      <c r="D7" s="9">
        <f>-PMT(D2/D4,D5,D1)</f>
        <v>2930697.5804808764</v>
      </c>
      <c r="G7" s="1" t="s">
        <v>11</v>
      </c>
      <c r="H7" s="1">
        <v>1</v>
      </c>
    </row>
    <row r="9" spans="1:8" x14ac:dyDescent="0.25">
      <c r="A9" s="11"/>
      <c r="B9" s="11"/>
      <c r="C9" s="11"/>
      <c r="D9" s="11"/>
      <c r="E9" s="10"/>
    </row>
    <row r="10" spans="1:8" x14ac:dyDescent="0.25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</row>
    <row r="11" spans="1:8" x14ac:dyDescent="0.25">
      <c r="A11" s="2">
        <v>0</v>
      </c>
      <c r="E11" s="8">
        <f>+D1</f>
        <v>165000000</v>
      </c>
    </row>
    <row r="12" spans="1:8" x14ac:dyDescent="0.25">
      <c r="A12" s="2">
        <v>1</v>
      </c>
      <c r="B12" s="6">
        <f>+$D$7</f>
        <v>2930697.5804808764</v>
      </c>
      <c r="C12" s="6">
        <f>+B12-D12</f>
        <v>510697.58048087638</v>
      </c>
      <c r="D12" s="6">
        <f>E11*$D$2/$D$4</f>
        <v>2420000</v>
      </c>
      <c r="E12" s="6">
        <f>+E11-C12</f>
        <v>164489302.41951913</v>
      </c>
    </row>
    <row r="13" spans="1:8" x14ac:dyDescent="0.25">
      <c r="A13" s="2">
        <v>2</v>
      </c>
      <c r="B13" s="6">
        <f t="shared" ref="B13:B76" si="0">+$D$7</f>
        <v>2930697.5804808764</v>
      </c>
      <c r="C13" s="6">
        <f t="shared" ref="C13:C71" si="1">+B13-D13</f>
        <v>518187.81166126253</v>
      </c>
      <c r="D13" s="6">
        <f t="shared" ref="D13:D71" si="2">E12*$D$2/$D$4</f>
        <v>2412509.7688196138</v>
      </c>
      <c r="E13" s="6">
        <f t="shared" ref="E13:E71" si="3">+E12-C13</f>
        <v>163971114.60785785</v>
      </c>
    </row>
    <row r="14" spans="1:8" x14ac:dyDescent="0.25">
      <c r="A14" s="2">
        <v>3</v>
      </c>
      <c r="B14" s="6">
        <f t="shared" si="0"/>
        <v>2930697.5804808764</v>
      </c>
      <c r="C14" s="6">
        <f t="shared" si="1"/>
        <v>525787.89956562826</v>
      </c>
      <c r="D14" s="6">
        <f t="shared" si="2"/>
        <v>2404909.6809152481</v>
      </c>
      <c r="E14" s="6">
        <f t="shared" si="3"/>
        <v>163445326.70829222</v>
      </c>
    </row>
    <row r="15" spans="1:8" x14ac:dyDescent="0.25">
      <c r="A15" s="2">
        <v>4</v>
      </c>
      <c r="B15" s="6">
        <f t="shared" si="0"/>
        <v>2930697.5804808764</v>
      </c>
      <c r="C15" s="6">
        <f t="shared" si="1"/>
        <v>533499.45542592416</v>
      </c>
      <c r="D15" s="6">
        <f t="shared" si="2"/>
        <v>2397198.1250549522</v>
      </c>
      <c r="E15" s="6">
        <f t="shared" si="3"/>
        <v>162911827.2528663</v>
      </c>
    </row>
    <row r="16" spans="1:8" x14ac:dyDescent="0.25">
      <c r="A16" s="2">
        <v>5</v>
      </c>
      <c r="B16" s="6">
        <f t="shared" si="0"/>
        <v>2930697.5804808764</v>
      </c>
      <c r="C16" s="6">
        <f t="shared" si="1"/>
        <v>541324.11410550401</v>
      </c>
      <c r="D16" s="6">
        <f t="shared" si="2"/>
        <v>2389373.4663753724</v>
      </c>
      <c r="E16" s="6">
        <f t="shared" si="3"/>
        <v>162370503.13876081</v>
      </c>
    </row>
    <row r="17" spans="1:5" x14ac:dyDescent="0.25">
      <c r="A17" s="2">
        <v>6</v>
      </c>
      <c r="B17" s="6">
        <f t="shared" si="0"/>
        <v>2930697.5804808764</v>
      </c>
      <c r="C17" s="6">
        <f t="shared" si="1"/>
        <v>549263.53444571793</v>
      </c>
      <c r="D17" s="6">
        <f t="shared" si="2"/>
        <v>2381434.0460351584</v>
      </c>
      <c r="E17" s="6">
        <f t="shared" si="3"/>
        <v>161821239.6043151</v>
      </c>
    </row>
    <row r="18" spans="1:5" x14ac:dyDescent="0.25">
      <c r="A18" s="2">
        <v>7</v>
      </c>
      <c r="B18" s="6">
        <f t="shared" si="0"/>
        <v>2930697.5804808764</v>
      </c>
      <c r="C18" s="6">
        <f t="shared" si="1"/>
        <v>557319.39961758861</v>
      </c>
      <c r="D18" s="6">
        <f t="shared" si="2"/>
        <v>2373378.1808632878</v>
      </c>
      <c r="E18" s="6">
        <f t="shared" si="3"/>
        <v>161263920.20469752</v>
      </c>
    </row>
    <row r="19" spans="1:5" x14ac:dyDescent="0.25">
      <c r="A19" s="2">
        <v>8</v>
      </c>
      <c r="B19" s="6">
        <f t="shared" si="0"/>
        <v>2930697.5804808764</v>
      </c>
      <c r="C19" s="6">
        <f t="shared" si="1"/>
        <v>565493.41747864615</v>
      </c>
      <c r="D19" s="6">
        <f t="shared" si="2"/>
        <v>2365204.1630022302</v>
      </c>
      <c r="E19" s="6">
        <f t="shared" si="3"/>
        <v>160698426.78721887</v>
      </c>
    </row>
    <row r="20" spans="1:5" x14ac:dyDescent="0.25">
      <c r="A20" s="2">
        <v>9</v>
      </c>
      <c r="B20" s="6">
        <f t="shared" si="0"/>
        <v>2930697.5804808764</v>
      </c>
      <c r="C20" s="6">
        <f t="shared" si="1"/>
        <v>573787.32093499973</v>
      </c>
      <c r="D20" s="6">
        <f t="shared" si="2"/>
        <v>2356910.2595458766</v>
      </c>
      <c r="E20" s="6">
        <f t="shared" si="3"/>
        <v>160124639.46628386</v>
      </c>
    </row>
    <row r="21" spans="1:5" x14ac:dyDescent="0.25">
      <c r="A21" s="2">
        <v>10</v>
      </c>
      <c r="B21" s="6">
        <f t="shared" si="0"/>
        <v>2930697.5804808764</v>
      </c>
      <c r="C21" s="6">
        <f t="shared" si="1"/>
        <v>582202.86830871319</v>
      </c>
      <c r="D21" s="6">
        <f t="shared" si="2"/>
        <v>2348494.7121721632</v>
      </c>
      <c r="E21" s="6">
        <f t="shared" si="3"/>
        <v>159542436.59797513</v>
      </c>
    </row>
    <row r="22" spans="1:5" x14ac:dyDescent="0.25">
      <c r="A22" s="2">
        <v>11</v>
      </c>
      <c r="B22" s="6">
        <f t="shared" si="0"/>
        <v>2930697.5804808764</v>
      </c>
      <c r="C22" s="6">
        <f t="shared" si="1"/>
        <v>590741.84371057479</v>
      </c>
      <c r="D22" s="6">
        <f t="shared" si="2"/>
        <v>2339955.7367703016</v>
      </c>
      <c r="E22" s="6">
        <f t="shared" si="3"/>
        <v>158951694.75426456</v>
      </c>
    </row>
    <row r="23" spans="1:5" x14ac:dyDescent="0.25">
      <c r="A23" s="2">
        <v>12</v>
      </c>
      <c r="B23" s="6">
        <f t="shared" si="0"/>
        <v>2930697.5804808764</v>
      </c>
      <c r="C23" s="6">
        <f t="shared" si="1"/>
        <v>599406.05741832964</v>
      </c>
      <c r="D23" s="6">
        <f t="shared" si="2"/>
        <v>2331291.5230625467</v>
      </c>
      <c r="E23" s="6">
        <f t="shared" si="3"/>
        <v>158352288.69684625</v>
      </c>
    </row>
    <row r="24" spans="1:5" x14ac:dyDescent="0.25">
      <c r="A24" s="2">
        <v>13</v>
      </c>
      <c r="B24" s="6">
        <f t="shared" si="0"/>
        <v>2930697.5804808764</v>
      </c>
      <c r="C24" s="6">
        <f t="shared" si="1"/>
        <v>608197.34626046475</v>
      </c>
      <c r="D24" s="6">
        <f t="shared" si="2"/>
        <v>2322500.2342204116</v>
      </c>
      <c r="E24" s="6">
        <f t="shared" si="3"/>
        <v>157744091.35058579</v>
      </c>
    </row>
    <row r="25" spans="1:5" x14ac:dyDescent="0.25">
      <c r="A25" s="2">
        <v>14</v>
      </c>
      <c r="B25" s="6">
        <f t="shared" si="0"/>
        <v>2930697.5804808764</v>
      </c>
      <c r="C25" s="6">
        <f t="shared" si="1"/>
        <v>617117.57400561823</v>
      </c>
      <c r="D25" s="6">
        <f t="shared" si="2"/>
        <v>2313580.0064752582</v>
      </c>
      <c r="E25" s="6">
        <f t="shared" si="3"/>
        <v>157126973.77658018</v>
      </c>
    </row>
    <row r="26" spans="1:5" x14ac:dyDescent="0.25">
      <c r="A26" s="2">
        <v>15</v>
      </c>
      <c r="B26" s="6">
        <f t="shared" si="0"/>
        <v>2930697.5804808764</v>
      </c>
      <c r="C26" s="6">
        <f t="shared" si="1"/>
        <v>626168.63175770035</v>
      </c>
      <c r="D26" s="6">
        <f t="shared" si="2"/>
        <v>2304528.948723176</v>
      </c>
      <c r="E26" s="6">
        <f t="shared" si="3"/>
        <v>156500805.14482248</v>
      </c>
    </row>
    <row r="27" spans="1:5" x14ac:dyDescent="0.25">
      <c r="A27" s="2">
        <v>16</v>
      </c>
      <c r="B27" s="6">
        <f t="shared" si="0"/>
        <v>2930697.5804808764</v>
      </c>
      <c r="C27" s="6">
        <f t="shared" si="1"/>
        <v>635352.43835681351</v>
      </c>
      <c r="D27" s="6">
        <f t="shared" si="2"/>
        <v>2295345.1421240629</v>
      </c>
      <c r="E27" s="6">
        <f t="shared" si="3"/>
        <v>155865452.70646566</v>
      </c>
    </row>
    <row r="28" spans="1:5" x14ac:dyDescent="0.25">
      <c r="A28" s="2">
        <v>17</v>
      </c>
      <c r="B28" s="6">
        <f t="shared" si="0"/>
        <v>2930697.5804808764</v>
      </c>
      <c r="C28" s="6">
        <f t="shared" si="1"/>
        <v>644670.94078604691</v>
      </c>
      <c r="D28" s="6">
        <f t="shared" si="2"/>
        <v>2286026.6396948295</v>
      </c>
      <c r="E28" s="6">
        <f t="shared" si="3"/>
        <v>155220781.76567963</v>
      </c>
    </row>
    <row r="29" spans="1:5" x14ac:dyDescent="0.25">
      <c r="A29" s="2">
        <v>18</v>
      </c>
      <c r="B29" s="6">
        <f t="shared" si="0"/>
        <v>2930697.5804808764</v>
      </c>
      <c r="C29" s="6">
        <f t="shared" si="1"/>
        <v>654126.11458424199</v>
      </c>
      <c r="D29" s="6">
        <f t="shared" si="2"/>
        <v>2276571.4658966344</v>
      </c>
      <c r="E29" s="6">
        <f t="shared" si="3"/>
        <v>154566655.65109539</v>
      </c>
    </row>
    <row r="30" spans="1:5" x14ac:dyDescent="0.25">
      <c r="A30" s="2">
        <v>19</v>
      </c>
      <c r="B30" s="6">
        <f t="shared" si="0"/>
        <v>2930697.5804808764</v>
      </c>
      <c r="C30" s="6">
        <f t="shared" si="1"/>
        <v>663719.96426481055</v>
      </c>
      <c r="D30" s="6">
        <f t="shared" si="2"/>
        <v>2266977.6162160658</v>
      </c>
      <c r="E30" s="6">
        <f t="shared" si="3"/>
        <v>153902935.68683058</v>
      </c>
    </row>
    <row r="31" spans="1:5" x14ac:dyDescent="0.25">
      <c r="A31" s="2">
        <v>20</v>
      </c>
      <c r="B31" s="6">
        <f t="shared" si="0"/>
        <v>2930697.5804808764</v>
      </c>
      <c r="C31" s="6">
        <f t="shared" si="1"/>
        <v>673454.52374069439</v>
      </c>
      <c r="D31" s="6">
        <f t="shared" si="2"/>
        <v>2257243.056740182</v>
      </c>
      <c r="E31" s="6">
        <f t="shared" si="3"/>
        <v>153229481.16308987</v>
      </c>
    </row>
    <row r="32" spans="1:5" x14ac:dyDescent="0.25">
      <c r="A32" s="2">
        <v>21</v>
      </c>
      <c r="B32" s="6">
        <f t="shared" si="0"/>
        <v>2930697.5804808764</v>
      </c>
      <c r="C32" s="6">
        <f t="shared" si="1"/>
        <v>683331.8567555584</v>
      </c>
      <c r="D32" s="6">
        <f t="shared" si="2"/>
        <v>2247365.723725318</v>
      </c>
      <c r="E32" s="6">
        <f t="shared" si="3"/>
        <v>152546149.30633432</v>
      </c>
    </row>
    <row r="33" spans="1:5" x14ac:dyDescent="0.25">
      <c r="A33" s="2">
        <v>22</v>
      </c>
      <c r="B33" s="6">
        <f t="shared" si="0"/>
        <v>2930697.5804808764</v>
      </c>
      <c r="C33" s="6">
        <f t="shared" si="1"/>
        <v>693354.05732130678</v>
      </c>
      <c r="D33" s="6">
        <f t="shared" si="2"/>
        <v>2237343.5231595696</v>
      </c>
      <c r="E33" s="6">
        <f t="shared" si="3"/>
        <v>151852795.24901301</v>
      </c>
    </row>
    <row r="34" spans="1:5" x14ac:dyDescent="0.25">
      <c r="A34" s="2">
        <v>23</v>
      </c>
      <c r="B34" s="6">
        <f t="shared" si="0"/>
        <v>2930697.5804808764</v>
      </c>
      <c r="C34" s="6">
        <f t="shared" si="1"/>
        <v>703523.25016201893</v>
      </c>
      <c r="D34" s="6">
        <f t="shared" si="2"/>
        <v>2227174.3303188575</v>
      </c>
      <c r="E34" s="6">
        <f t="shared" si="3"/>
        <v>151149271.998851</v>
      </c>
    </row>
    <row r="35" spans="1:5" x14ac:dyDescent="0.25">
      <c r="A35" s="2">
        <v>24</v>
      </c>
      <c r="B35" s="6">
        <f t="shared" si="0"/>
        <v>2930697.5804808764</v>
      </c>
      <c r="C35" s="6">
        <f t="shared" si="1"/>
        <v>713841.59116439521</v>
      </c>
      <c r="D35" s="6">
        <f t="shared" si="2"/>
        <v>2216855.9893164812</v>
      </c>
      <c r="E35" s="6">
        <f t="shared" si="3"/>
        <v>150435430.40768659</v>
      </c>
    </row>
    <row r="36" spans="1:5" x14ac:dyDescent="0.25">
      <c r="A36" s="2">
        <v>25</v>
      </c>
      <c r="B36" s="6">
        <f t="shared" si="0"/>
        <v>2930697.5804808764</v>
      </c>
      <c r="C36" s="6">
        <f t="shared" si="1"/>
        <v>724311.26783480635</v>
      </c>
      <c r="D36" s="6">
        <f t="shared" si="2"/>
        <v>2206386.31264607</v>
      </c>
      <c r="E36" s="6">
        <f t="shared" si="3"/>
        <v>149711119.13985178</v>
      </c>
    </row>
    <row r="37" spans="1:5" x14ac:dyDescent="0.25">
      <c r="A37" s="2">
        <v>26</v>
      </c>
      <c r="B37" s="6">
        <f t="shared" si="0"/>
        <v>2930697.5804808764</v>
      </c>
      <c r="C37" s="6">
        <f t="shared" si="1"/>
        <v>734934.49976305058</v>
      </c>
      <c r="D37" s="6">
        <f t="shared" si="2"/>
        <v>2195763.0807178258</v>
      </c>
      <c r="E37" s="6">
        <f t="shared" si="3"/>
        <v>148976184.64008874</v>
      </c>
    </row>
    <row r="38" spans="1:5" x14ac:dyDescent="0.25">
      <c r="A38" s="2">
        <v>27</v>
      </c>
      <c r="B38" s="6">
        <f t="shared" si="0"/>
        <v>2930697.5804808764</v>
      </c>
      <c r="C38" s="6">
        <f t="shared" si="1"/>
        <v>745713.53909290815</v>
      </c>
      <c r="D38" s="6">
        <f t="shared" si="2"/>
        <v>2184984.0413879682</v>
      </c>
      <c r="E38" s="6">
        <f t="shared" si="3"/>
        <v>148230471.10099584</v>
      </c>
    </row>
    <row r="39" spans="1:5" x14ac:dyDescent="0.25">
      <c r="A39" s="2">
        <v>28</v>
      </c>
      <c r="B39" s="6">
        <f t="shared" si="0"/>
        <v>2930697.5804808764</v>
      </c>
      <c r="C39" s="6">
        <f t="shared" si="1"/>
        <v>756650.67099960428</v>
      </c>
      <c r="D39" s="6">
        <f t="shared" si="2"/>
        <v>2174046.9094812721</v>
      </c>
      <c r="E39" s="6">
        <f t="shared" si="3"/>
        <v>147473820.42999622</v>
      </c>
    </row>
    <row r="40" spans="1:5" x14ac:dyDescent="0.25">
      <c r="A40" s="2">
        <v>29</v>
      </c>
      <c r="B40" s="6">
        <f t="shared" si="0"/>
        <v>2930697.5804808764</v>
      </c>
      <c r="C40" s="6">
        <f t="shared" si="1"/>
        <v>767748.21417426551</v>
      </c>
      <c r="D40" s="6">
        <f t="shared" si="2"/>
        <v>2162949.3663066109</v>
      </c>
      <c r="E40" s="6">
        <f t="shared" si="3"/>
        <v>146706072.21582195</v>
      </c>
    </row>
    <row r="41" spans="1:5" x14ac:dyDescent="0.25">
      <c r="A41" s="2">
        <v>30</v>
      </c>
      <c r="B41" s="6">
        <f t="shared" si="0"/>
        <v>2930697.5804808764</v>
      </c>
      <c r="C41" s="6">
        <f t="shared" si="1"/>
        <v>779008.52131548803</v>
      </c>
      <c r="D41" s="6">
        <f t="shared" si="2"/>
        <v>2151689.0591653883</v>
      </c>
      <c r="E41" s="6">
        <f t="shared" si="3"/>
        <v>145927063.69450647</v>
      </c>
    </row>
    <row r="42" spans="1:5" x14ac:dyDescent="0.25">
      <c r="A42" s="2">
        <v>31</v>
      </c>
      <c r="B42" s="6">
        <f t="shared" si="0"/>
        <v>2930697.5804808764</v>
      </c>
      <c r="C42" s="6">
        <f t="shared" si="1"/>
        <v>790433.97962811496</v>
      </c>
      <c r="D42" s="6">
        <f t="shared" si="2"/>
        <v>2140263.6008527614</v>
      </c>
      <c r="E42" s="6">
        <f t="shared" si="3"/>
        <v>145136629.71487835</v>
      </c>
    </row>
    <row r="43" spans="1:5" x14ac:dyDescent="0.25">
      <c r="A43" s="2">
        <v>32</v>
      </c>
      <c r="B43" s="6">
        <f t="shared" si="0"/>
        <v>2930697.5804808764</v>
      </c>
      <c r="C43" s="6">
        <f t="shared" si="1"/>
        <v>802027.01132932724</v>
      </c>
      <c r="D43" s="6">
        <f t="shared" si="2"/>
        <v>2128670.5691515491</v>
      </c>
      <c r="E43" s="6">
        <f t="shared" si="3"/>
        <v>144334602.70354903</v>
      </c>
    </row>
    <row r="44" spans="1:5" x14ac:dyDescent="0.25">
      <c r="A44" s="2">
        <v>33</v>
      </c>
      <c r="B44" s="6">
        <f t="shared" si="0"/>
        <v>2930697.5804808764</v>
      </c>
      <c r="C44" s="6">
        <f t="shared" si="1"/>
        <v>813790.07416215772</v>
      </c>
      <c r="D44" s="6">
        <f t="shared" si="2"/>
        <v>2116907.5063187187</v>
      </c>
      <c r="E44" s="6">
        <f t="shared" si="3"/>
        <v>143520812.62938687</v>
      </c>
    </row>
    <row r="45" spans="1:5" x14ac:dyDescent="0.25">
      <c r="A45" s="2">
        <v>34</v>
      </c>
      <c r="B45" s="6">
        <f t="shared" si="0"/>
        <v>2930697.5804808764</v>
      </c>
      <c r="C45" s="6">
        <f t="shared" si="1"/>
        <v>825725.66191653581</v>
      </c>
      <c r="D45" s="6">
        <f t="shared" si="2"/>
        <v>2104971.9185643406</v>
      </c>
      <c r="E45" s="6">
        <f t="shared" si="3"/>
        <v>142695086.96747035</v>
      </c>
    </row>
    <row r="46" spans="1:5" x14ac:dyDescent="0.25">
      <c r="A46" s="2">
        <v>35</v>
      </c>
      <c r="B46" s="6">
        <f t="shared" si="0"/>
        <v>2930697.5804808764</v>
      </c>
      <c r="C46" s="6">
        <f t="shared" si="1"/>
        <v>837836.30495797819</v>
      </c>
      <c r="D46" s="6">
        <f t="shared" si="2"/>
        <v>2092861.2755228982</v>
      </c>
      <c r="E46" s="6">
        <f t="shared" si="3"/>
        <v>141857250.66251236</v>
      </c>
    </row>
    <row r="47" spans="1:5" x14ac:dyDescent="0.25">
      <c r="A47" s="2">
        <v>36</v>
      </c>
      <c r="B47" s="6">
        <f t="shared" si="0"/>
        <v>2930697.5804808764</v>
      </c>
      <c r="C47" s="6">
        <f t="shared" si="1"/>
        <v>850124.57076402847</v>
      </c>
      <c r="D47" s="6">
        <f t="shared" si="2"/>
        <v>2080573.0097168479</v>
      </c>
      <c r="E47" s="6">
        <f t="shared" si="3"/>
        <v>141007126.09174833</v>
      </c>
    </row>
    <row r="48" spans="1:5" x14ac:dyDescent="0.25">
      <c r="A48" s="2">
        <v>37</v>
      </c>
      <c r="B48" s="6">
        <f t="shared" si="0"/>
        <v>2930697.5804808764</v>
      </c>
      <c r="C48" s="6">
        <f t="shared" si="1"/>
        <v>862593.06446856749</v>
      </c>
      <c r="D48" s="6">
        <f t="shared" si="2"/>
        <v>2068104.5160123089</v>
      </c>
      <c r="E48" s="6">
        <f t="shared" si="3"/>
        <v>140144533.02727976</v>
      </c>
    </row>
    <row r="49" spans="1:5" x14ac:dyDescent="0.25">
      <c r="A49" s="2">
        <v>38</v>
      </c>
      <c r="B49" s="6">
        <f t="shared" si="0"/>
        <v>2930697.5804808764</v>
      </c>
      <c r="C49" s="6">
        <f t="shared" si="1"/>
        <v>875244.42941410653</v>
      </c>
      <c r="D49" s="6">
        <f t="shared" si="2"/>
        <v>2055453.1510667698</v>
      </c>
      <c r="E49" s="6">
        <f t="shared" si="3"/>
        <v>139269288.59786567</v>
      </c>
    </row>
    <row r="50" spans="1:5" x14ac:dyDescent="0.25">
      <c r="A50" s="2">
        <v>39</v>
      </c>
      <c r="B50" s="6">
        <f t="shared" si="0"/>
        <v>2930697.5804808764</v>
      </c>
      <c r="C50" s="6">
        <f t="shared" si="1"/>
        <v>888081.34771217988</v>
      </c>
      <c r="D50" s="6">
        <f t="shared" si="2"/>
        <v>2042616.2327686965</v>
      </c>
      <c r="E50" s="6">
        <f t="shared" si="3"/>
        <v>138381207.25015348</v>
      </c>
    </row>
    <row r="51" spans="1:5" x14ac:dyDescent="0.25">
      <c r="A51" s="2">
        <v>40</v>
      </c>
      <c r="B51" s="6">
        <f t="shared" si="0"/>
        <v>2930697.5804808764</v>
      </c>
      <c r="C51" s="6">
        <f t="shared" si="1"/>
        <v>901106.54081195872</v>
      </c>
      <c r="D51" s="6">
        <f t="shared" si="2"/>
        <v>2029591.0396689177</v>
      </c>
      <c r="E51" s="6">
        <f t="shared" si="3"/>
        <v>137480100.70934153</v>
      </c>
    </row>
    <row r="52" spans="1:5" x14ac:dyDescent="0.25">
      <c r="A52" s="2">
        <v>41</v>
      </c>
      <c r="B52" s="6">
        <f t="shared" si="0"/>
        <v>2930697.5804808764</v>
      </c>
      <c r="C52" s="6">
        <f t="shared" si="1"/>
        <v>914322.77007720084</v>
      </c>
      <c r="D52" s="6">
        <f t="shared" si="2"/>
        <v>2016374.8104036755</v>
      </c>
      <c r="E52" s="6">
        <f t="shared" si="3"/>
        <v>136565777.93926433</v>
      </c>
    </row>
    <row r="53" spans="1:5" x14ac:dyDescent="0.25">
      <c r="A53" s="2">
        <v>42</v>
      </c>
      <c r="B53" s="6">
        <f t="shared" si="0"/>
        <v>2930697.5804808764</v>
      </c>
      <c r="C53" s="6">
        <f t="shared" si="1"/>
        <v>927732.83737166622</v>
      </c>
      <c r="D53" s="6">
        <f t="shared" si="2"/>
        <v>2002964.7431092102</v>
      </c>
      <c r="E53" s="6">
        <f t="shared" si="3"/>
        <v>135638045.10189265</v>
      </c>
    </row>
    <row r="54" spans="1:5" x14ac:dyDescent="0.25">
      <c r="A54" s="2">
        <v>43</v>
      </c>
      <c r="B54" s="6">
        <f t="shared" si="0"/>
        <v>2930697.5804808764</v>
      </c>
      <c r="C54" s="6">
        <f t="shared" si="1"/>
        <v>941339.58565311763</v>
      </c>
      <c r="D54" s="6">
        <f t="shared" si="2"/>
        <v>1989357.9948277588</v>
      </c>
      <c r="E54" s="6">
        <f t="shared" si="3"/>
        <v>134696705.51623952</v>
      </c>
    </row>
    <row r="55" spans="1:5" x14ac:dyDescent="0.25">
      <c r="A55" s="2">
        <v>44</v>
      </c>
      <c r="B55" s="6">
        <f t="shared" si="0"/>
        <v>2930697.5804808764</v>
      </c>
      <c r="C55" s="6">
        <f t="shared" si="1"/>
        <v>955145.89957602997</v>
      </c>
      <c r="D55" s="6">
        <f t="shared" si="2"/>
        <v>1975551.6809048464</v>
      </c>
      <c r="E55" s="6">
        <f t="shared" si="3"/>
        <v>133741559.6166635</v>
      </c>
    </row>
    <row r="56" spans="1:5" x14ac:dyDescent="0.25">
      <c r="A56" s="2">
        <v>45</v>
      </c>
      <c r="B56" s="6">
        <f t="shared" si="0"/>
        <v>2930697.5804808764</v>
      </c>
      <c r="C56" s="6">
        <f t="shared" si="1"/>
        <v>969154.70610314514</v>
      </c>
      <c r="D56" s="6">
        <f t="shared" si="2"/>
        <v>1961542.8743777312</v>
      </c>
      <c r="E56" s="6">
        <f t="shared" si="3"/>
        <v>132772404.91056035</v>
      </c>
    </row>
    <row r="57" spans="1:5" x14ac:dyDescent="0.25">
      <c r="A57" s="2">
        <v>46</v>
      </c>
      <c r="B57" s="6">
        <f t="shared" si="0"/>
        <v>2930697.5804808764</v>
      </c>
      <c r="C57" s="6">
        <f t="shared" si="1"/>
        <v>983368.97512599151</v>
      </c>
      <c r="D57" s="6">
        <f t="shared" si="2"/>
        <v>1947328.6053548849</v>
      </c>
      <c r="E57" s="6">
        <f t="shared" si="3"/>
        <v>131789035.93543436</v>
      </c>
    </row>
    <row r="58" spans="1:5" x14ac:dyDescent="0.25">
      <c r="A58" s="2">
        <v>47</v>
      </c>
      <c r="B58" s="6">
        <f t="shared" si="0"/>
        <v>2930697.5804808764</v>
      </c>
      <c r="C58" s="6">
        <f t="shared" si="1"/>
        <v>997791.72009450593</v>
      </c>
      <c r="D58" s="6">
        <f t="shared" si="2"/>
        <v>1932905.8603863704</v>
      </c>
      <c r="E58" s="6">
        <f t="shared" si="3"/>
        <v>130791244.21533985</v>
      </c>
    </row>
    <row r="59" spans="1:5" x14ac:dyDescent="0.25">
      <c r="A59" s="2">
        <v>48</v>
      </c>
      <c r="B59" s="6">
        <f t="shared" si="0"/>
        <v>2930697.5804808764</v>
      </c>
      <c r="C59" s="6">
        <f t="shared" si="1"/>
        <v>1012425.998655892</v>
      </c>
      <c r="D59" s="6">
        <f t="shared" si="2"/>
        <v>1918271.5818249844</v>
      </c>
      <c r="E59" s="6">
        <f t="shared" si="3"/>
        <v>129778818.21668397</v>
      </c>
    </row>
    <row r="60" spans="1:5" x14ac:dyDescent="0.25">
      <c r="A60" s="2">
        <v>49</v>
      </c>
      <c r="B60" s="6">
        <f t="shared" si="0"/>
        <v>2930697.5804808764</v>
      </c>
      <c r="C60" s="6">
        <f t="shared" si="1"/>
        <v>1027274.9133028451</v>
      </c>
      <c r="D60" s="6">
        <f t="shared" si="2"/>
        <v>1903422.6671780313</v>
      </c>
      <c r="E60" s="6">
        <f t="shared" si="3"/>
        <v>128751543.30338113</v>
      </c>
    </row>
    <row r="61" spans="1:5" x14ac:dyDescent="0.25">
      <c r="A61" s="2">
        <v>50</v>
      </c>
      <c r="B61" s="6">
        <f t="shared" si="0"/>
        <v>2930697.5804808764</v>
      </c>
      <c r="C61" s="6">
        <f t="shared" si="1"/>
        <v>1042341.6120312866</v>
      </c>
      <c r="D61" s="6">
        <f t="shared" si="2"/>
        <v>1888355.9684495898</v>
      </c>
      <c r="E61" s="6">
        <f t="shared" si="3"/>
        <v>127709201.69134985</v>
      </c>
    </row>
    <row r="62" spans="1:5" x14ac:dyDescent="0.25">
      <c r="A62" s="2">
        <v>51</v>
      </c>
      <c r="B62" s="6">
        <f t="shared" si="0"/>
        <v>2930697.5804808764</v>
      </c>
      <c r="C62" s="6">
        <f t="shared" si="1"/>
        <v>1057629.2890077455</v>
      </c>
      <c r="D62" s="6">
        <f t="shared" si="2"/>
        <v>1873068.2914731309</v>
      </c>
      <c r="E62" s="6">
        <f t="shared" si="3"/>
        <v>126651572.40234211</v>
      </c>
    </row>
    <row r="63" spans="1:5" x14ac:dyDescent="0.25">
      <c r="A63" s="2">
        <v>52</v>
      </c>
      <c r="B63" s="6">
        <f t="shared" si="0"/>
        <v>2930697.5804808764</v>
      </c>
      <c r="C63" s="6">
        <f t="shared" si="1"/>
        <v>1073141.1852465256</v>
      </c>
      <c r="D63" s="6">
        <f t="shared" si="2"/>
        <v>1857556.3952343508</v>
      </c>
      <c r="E63" s="6">
        <f t="shared" si="3"/>
        <v>125578431.21709558</v>
      </c>
    </row>
    <row r="64" spans="1:5" x14ac:dyDescent="0.25">
      <c r="A64" s="2">
        <v>53</v>
      </c>
      <c r="B64" s="6">
        <f t="shared" si="0"/>
        <v>2930697.5804808764</v>
      </c>
      <c r="C64" s="6">
        <f t="shared" si="1"/>
        <v>1088880.5892968078</v>
      </c>
      <c r="D64" s="6">
        <f t="shared" si="2"/>
        <v>1841816.9911840686</v>
      </c>
      <c r="E64" s="6">
        <f t="shared" si="3"/>
        <v>124489550.62779878</v>
      </c>
    </row>
    <row r="65" spans="1:5" x14ac:dyDescent="0.25">
      <c r="A65" s="2">
        <v>54</v>
      </c>
      <c r="B65" s="6">
        <f t="shared" si="0"/>
        <v>2930697.5804808764</v>
      </c>
      <c r="C65" s="6">
        <f t="shared" si="1"/>
        <v>1104850.8379398277</v>
      </c>
      <c r="D65" s="6">
        <f t="shared" si="2"/>
        <v>1825846.7425410487</v>
      </c>
      <c r="E65" s="6">
        <f t="shared" si="3"/>
        <v>123384699.78985895</v>
      </c>
    </row>
    <row r="66" spans="1:5" x14ac:dyDescent="0.25">
      <c r="A66" s="2">
        <v>55</v>
      </c>
      <c r="B66" s="6">
        <f t="shared" si="0"/>
        <v>2930697.5804808764</v>
      </c>
      <c r="C66" s="6">
        <f t="shared" si="1"/>
        <v>1121055.3168962784</v>
      </c>
      <c r="D66" s="6">
        <f t="shared" si="2"/>
        <v>1809642.263584598</v>
      </c>
      <c r="E66" s="6">
        <f t="shared" si="3"/>
        <v>122263644.47296268</v>
      </c>
    </row>
    <row r="67" spans="1:5" x14ac:dyDescent="0.25">
      <c r="A67" s="2">
        <v>56</v>
      </c>
      <c r="B67" s="6">
        <f t="shared" si="0"/>
        <v>2930697.5804808764</v>
      </c>
      <c r="C67" s="6">
        <f t="shared" si="1"/>
        <v>1137497.4615440906</v>
      </c>
      <c r="D67" s="6">
        <f t="shared" si="2"/>
        <v>1793200.1189367857</v>
      </c>
      <c r="E67" s="6">
        <f t="shared" si="3"/>
        <v>121126147.01141858</v>
      </c>
    </row>
    <row r="68" spans="1:5" x14ac:dyDescent="0.25">
      <c r="A68" s="2">
        <v>57</v>
      </c>
      <c r="B68" s="6">
        <f t="shared" si="0"/>
        <v>2930697.5804808764</v>
      </c>
      <c r="C68" s="6">
        <f t="shared" si="1"/>
        <v>1154180.7576467374</v>
      </c>
      <c r="D68" s="6">
        <f t="shared" si="2"/>
        <v>1776516.822834139</v>
      </c>
      <c r="E68" s="6">
        <f t="shared" si="3"/>
        <v>119971966.25377184</v>
      </c>
    </row>
    <row r="69" spans="1:5" x14ac:dyDescent="0.25">
      <c r="A69" s="2">
        <v>58</v>
      </c>
      <c r="B69" s="6">
        <f t="shared" si="0"/>
        <v>2930697.5804808764</v>
      </c>
      <c r="C69" s="6">
        <f t="shared" si="1"/>
        <v>1171108.7420922229</v>
      </c>
      <c r="D69" s="6">
        <f t="shared" si="2"/>
        <v>1759588.8383886535</v>
      </c>
      <c r="E69" s="6">
        <f t="shared" si="3"/>
        <v>118800857.51167962</v>
      </c>
    </row>
    <row r="70" spans="1:5" x14ac:dyDescent="0.25">
      <c r="A70" s="2">
        <v>59</v>
      </c>
      <c r="B70" s="6">
        <f t="shared" si="0"/>
        <v>2930697.5804808764</v>
      </c>
      <c r="C70" s="6">
        <f t="shared" si="1"/>
        <v>1188285.0036429085</v>
      </c>
      <c r="D70" s="6">
        <f t="shared" si="2"/>
        <v>1742412.5768379678</v>
      </c>
      <c r="E70" s="6">
        <f t="shared" si="3"/>
        <v>117612572.50803672</v>
      </c>
    </row>
    <row r="71" spans="1:5" x14ac:dyDescent="0.25">
      <c r="A71" s="2">
        <v>60</v>
      </c>
      <c r="B71" s="6">
        <f t="shared" si="0"/>
        <v>2930697.5804808764</v>
      </c>
      <c r="C71" s="6">
        <f t="shared" si="1"/>
        <v>1205713.183696338</v>
      </c>
      <c r="D71" s="6">
        <f t="shared" si="2"/>
        <v>1724984.3967845384</v>
      </c>
      <c r="E71" s="6">
        <f t="shared" si="3"/>
        <v>116406859.32434037</v>
      </c>
    </row>
    <row r="72" spans="1:5" x14ac:dyDescent="0.25">
      <c r="A72" s="2">
        <v>61</v>
      </c>
      <c r="B72" s="6">
        <f t="shared" si="0"/>
        <v>2930697.5804808764</v>
      </c>
      <c r="C72" s="6">
        <f t="shared" ref="C72:C74" si="4">+B72-D72</f>
        <v>1223396.9770572176</v>
      </c>
      <c r="D72" s="6">
        <f t="shared" ref="D72:D74" si="5">E71*$D$2/$D$4</f>
        <v>1707300.6034236588</v>
      </c>
      <c r="E72" s="6">
        <f t="shared" ref="E72:E74" si="6">+E71-C72</f>
        <v>115183462.34728315</v>
      </c>
    </row>
    <row r="73" spans="1:5" x14ac:dyDescent="0.25">
      <c r="A73" s="2">
        <v>62</v>
      </c>
      <c r="B73" s="6">
        <f t="shared" si="0"/>
        <v>2930697.5804808764</v>
      </c>
      <c r="C73" s="6">
        <f t="shared" si="4"/>
        <v>1241340.1327207235</v>
      </c>
      <c r="D73" s="6">
        <f t="shared" si="5"/>
        <v>1689357.4477601529</v>
      </c>
      <c r="E73" s="6">
        <f t="shared" si="6"/>
        <v>113942122.21456243</v>
      </c>
    </row>
    <row r="74" spans="1:5" x14ac:dyDescent="0.25">
      <c r="A74" s="2">
        <v>63</v>
      </c>
      <c r="B74" s="6">
        <f t="shared" si="0"/>
        <v>2930697.5804808764</v>
      </c>
      <c r="C74" s="6">
        <f t="shared" si="4"/>
        <v>1259546.4546672942</v>
      </c>
      <c r="D74" s="6">
        <f t="shared" si="5"/>
        <v>1671151.1258135822</v>
      </c>
      <c r="E74" s="6">
        <f t="shared" si="6"/>
        <v>112682575.75989513</v>
      </c>
    </row>
    <row r="75" spans="1:5" x14ac:dyDescent="0.25">
      <c r="A75" s="2">
        <v>64</v>
      </c>
      <c r="B75" s="6">
        <f t="shared" si="0"/>
        <v>2930697.5804808764</v>
      </c>
      <c r="C75" s="6">
        <f t="shared" ref="C75:C77" si="7">+B75-D75</f>
        <v>1278019.8026690811</v>
      </c>
      <c r="D75" s="6">
        <f t="shared" ref="D75:D77" si="8">E74*$D$2/$D$4</f>
        <v>1652677.7778117952</v>
      </c>
      <c r="E75" s="6">
        <f t="shared" ref="E75:E77" si="9">+E74-C75</f>
        <v>111404555.95722605</v>
      </c>
    </row>
    <row r="76" spans="1:5" x14ac:dyDescent="0.25">
      <c r="A76" s="2">
        <v>65</v>
      </c>
      <c r="B76" s="6">
        <f t="shared" si="0"/>
        <v>2930697.5804808764</v>
      </c>
      <c r="C76" s="6">
        <f t="shared" si="7"/>
        <v>1296764.0931082277</v>
      </c>
      <c r="D76" s="6">
        <f t="shared" si="8"/>
        <v>1633933.4873726487</v>
      </c>
      <c r="E76" s="6">
        <f t="shared" si="9"/>
        <v>110107791.86411783</v>
      </c>
    </row>
    <row r="77" spans="1:5" x14ac:dyDescent="0.25">
      <c r="A77" s="2">
        <v>66</v>
      </c>
      <c r="B77" s="6">
        <f t="shared" ref="B77:B84" si="10">+$D$7</f>
        <v>2930697.5804808764</v>
      </c>
      <c r="C77" s="6">
        <f t="shared" si="7"/>
        <v>1315783.2998071483</v>
      </c>
      <c r="D77" s="6">
        <f t="shared" si="8"/>
        <v>1614914.2806737281</v>
      </c>
      <c r="E77" s="6">
        <f t="shared" si="9"/>
        <v>108792008.56431068</v>
      </c>
    </row>
    <row r="78" spans="1:5" x14ac:dyDescent="0.25">
      <c r="A78" s="2">
        <v>67</v>
      </c>
      <c r="B78" s="6">
        <f t="shared" si="10"/>
        <v>2930697.5804808764</v>
      </c>
      <c r="C78" s="6">
        <f t="shared" ref="C78:C84" si="11">+B78-D78</f>
        <v>1335081.4548709865</v>
      </c>
      <c r="D78" s="6">
        <f t="shared" ref="D78:D84" si="12">E77*$D$2/$D$4</f>
        <v>1595616.1256098899</v>
      </c>
      <c r="E78" s="6">
        <f t="shared" ref="E78:E84" si="13">+E77-C78</f>
        <v>107456927.1094397</v>
      </c>
    </row>
    <row r="79" spans="1:5" x14ac:dyDescent="0.25">
      <c r="A79" s="2">
        <v>68</v>
      </c>
      <c r="B79" s="6">
        <f t="shared" si="10"/>
        <v>2930697.5804808764</v>
      </c>
      <c r="C79" s="6">
        <f t="shared" si="11"/>
        <v>1354662.6495424276</v>
      </c>
      <c r="D79" s="6">
        <f t="shared" si="12"/>
        <v>1576034.9309384488</v>
      </c>
      <c r="E79" s="6">
        <f t="shared" si="13"/>
        <v>106102264.45989728</v>
      </c>
    </row>
    <row r="80" spans="1:5" x14ac:dyDescent="0.25">
      <c r="A80" s="2">
        <v>69</v>
      </c>
      <c r="B80" s="6">
        <f t="shared" si="10"/>
        <v>2930697.5804808764</v>
      </c>
      <c r="C80" s="6">
        <f t="shared" si="11"/>
        <v>1374531.0350690496</v>
      </c>
      <c r="D80" s="6">
        <f t="shared" si="12"/>
        <v>1556166.5454118268</v>
      </c>
      <c r="E80" s="6">
        <f t="shared" si="13"/>
        <v>104727733.42482823</v>
      </c>
    </row>
    <row r="81" spans="1:5" x14ac:dyDescent="0.25">
      <c r="A81" s="2">
        <v>70</v>
      </c>
      <c r="B81" s="6">
        <f t="shared" si="10"/>
        <v>2930697.5804808764</v>
      </c>
      <c r="C81" s="6">
        <f t="shared" si="11"/>
        <v>1394690.8235833959</v>
      </c>
      <c r="D81" s="6">
        <f t="shared" si="12"/>
        <v>1536006.7568974805</v>
      </c>
      <c r="E81" s="6">
        <f t="shared" si="13"/>
        <v>103333042.60124484</v>
      </c>
    </row>
    <row r="82" spans="1:5" x14ac:dyDescent="0.25">
      <c r="A82" s="2">
        <v>71</v>
      </c>
      <c r="B82" s="6">
        <f t="shared" si="10"/>
        <v>2930697.5804808764</v>
      </c>
      <c r="C82" s="6">
        <f t="shared" si="11"/>
        <v>1415146.2889959521</v>
      </c>
      <c r="D82" s="6">
        <f t="shared" si="12"/>
        <v>1515551.2914849243</v>
      </c>
      <c r="E82" s="6">
        <f t="shared" si="13"/>
        <v>101917896.31224889</v>
      </c>
    </row>
    <row r="83" spans="1:5" x14ac:dyDescent="0.25">
      <c r="A83" s="2">
        <v>72</v>
      </c>
      <c r="B83" s="6">
        <f t="shared" si="10"/>
        <v>2930697.5804808764</v>
      </c>
      <c r="C83" s="6">
        <f t="shared" si="11"/>
        <v>1435901.7679012262</v>
      </c>
      <c r="D83" s="6">
        <f t="shared" si="12"/>
        <v>1494795.8125796502</v>
      </c>
      <c r="E83" s="6">
        <f t="shared" si="13"/>
        <v>100481994.54434766</v>
      </c>
    </row>
    <row r="84" spans="1:5" x14ac:dyDescent="0.25">
      <c r="A84" s="2">
        <v>73</v>
      </c>
      <c r="B84" s="6">
        <f t="shared" si="10"/>
        <v>2930697.5804808764</v>
      </c>
      <c r="C84" s="6">
        <f t="shared" si="11"/>
        <v>1456961.6604971106</v>
      </c>
      <c r="D84" s="6">
        <f t="shared" si="12"/>
        <v>1473735.9199837658</v>
      </c>
      <c r="E84" s="6">
        <f t="shared" si="13"/>
        <v>99025032.883850545</v>
      </c>
    </row>
  </sheetData>
  <mergeCells count="3">
    <mergeCell ref="G1:H1"/>
    <mergeCell ref="A9:B9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Luffi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cp:keywords/>
  <dc:description/>
  <cp:lastModifiedBy>Laptop</cp:lastModifiedBy>
  <cp:revision/>
  <dcterms:created xsi:type="dcterms:W3CDTF">2022-09-21T21:29:38Z</dcterms:created>
  <dcterms:modified xsi:type="dcterms:W3CDTF">2025-09-18T16:28:18Z</dcterms:modified>
  <cp:category/>
  <cp:contentStatus/>
</cp:coreProperties>
</file>